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-personal\paneladministrativo\"/>
    </mc:Choice>
  </mc:AlternateContent>
  <xr:revisionPtr revIDLastSave="0" documentId="13_ncr:1_{C57280A5-2086-4557-A45B-99CC5F590D72}" xr6:coauthVersionLast="47" xr6:coauthVersionMax="47" xr10:uidLastSave="{00000000-0000-0000-0000-000000000000}"/>
  <bookViews>
    <workbookView xWindow="-120" yWindow="-120" windowWidth="20730" windowHeight="11040" xr2:uid="{D8044CBE-64B8-4F70-9BF0-4C45326A3771}"/>
  </bookViews>
  <sheets>
    <sheet name="Tabla" sheetId="3" r:id="rId1"/>
    <sheet name="Matriz" sheetId="5" r:id="rId2"/>
    <sheet name="Cotizacion" sheetId="1" r:id="rId3"/>
  </sheets>
  <definedNames>
    <definedName name="_xlnm.Print_Area" localSheetId="2">Cotizacion!$A$1:$F$46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2" i="5"/>
  <c r="O4" i="3"/>
  <c r="O5" i="3"/>
  <c r="O6" i="3"/>
  <c r="O7" i="3"/>
  <c r="O8" i="3"/>
  <c r="O9" i="3"/>
  <c r="N4" i="3"/>
  <c r="N5" i="3"/>
  <c r="N6" i="3"/>
  <c r="N7" i="3"/>
  <c r="N8" i="3"/>
  <c r="N9" i="3"/>
  <c r="AA9" i="3"/>
  <c r="AA13" i="3" s="1"/>
  <c r="W7" i="3"/>
  <c r="X4" i="3"/>
  <c r="X13" i="3" s="1"/>
  <c r="P4" i="3" s="1"/>
  <c r="X5" i="3"/>
  <c r="W5" i="3"/>
  <c r="W4" i="3"/>
  <c r="AB13" i="3"/>
  <c r="Q9" i="3" s="1"/>
  <c r="M6" i="3"/>
  <c r="L6" i="3"/>
  <c r="K6" i="3"/>
  <c r="J6" i="3"/>
  <c r="I6" i="3"/>
  <c r="E6" i="3"/>
  <c r="F6" i="3" s="1"/>
  <c r="G6" i="3" s="1"/>
  <c r="M3" i="3"/>
  <c r="L3" i="3"/>
  <c r="K3" i="3"/>
  <c r="J3" i="3"/>
  <c r="I3" i="3"/>
  <c r="M9" i="3"/>
  <c r="L9" i="3"/>
  <c r="K9" i="3"/>
  <c r="J9" i="3"/>
  <c r="I9" i="3"/>
  <c r="M4" i="3"/>
  <c r="L4" i="3"/>
  <c r="K4" i="3"/>
  <c r="J4" i="3"/>
  <c r="I4" i="3"/>
  <c r="M5" i="3"/>
  <c r="L5" i="3"/>
  <c r="K5" i="3"/>
  <c r="J5" i="3"/>
  <c r="I5" i="3"/>
  <c r="M7" i="3"/>
  <c r="L7" i="3"/>
  <c r="K7" i="3"/>
  <c r="J7" i="3"/>
  <c r="I7" i="3"/>
  <c r="M8" i="3"/>
  <c r="L8" i="3"/>
  <c r="K8" i="3"/>
  <c r="J8" i="3"/>
  <c r="I8" i="3"/>
  <c r="E3" i="3"/>
  <c r="F3" i="3" s="1"/>
  <c r="G3" i="3" s="1"/>
  <c r="E9" i="3"/>
  <c r="F9" i="3" s="1"/>
  <c r="E4" i="3"/>
  <c r="H4" i="3" s="1"/>
  <c r="E5" i="3"/>
  <c r="H5" i="3" s="1"/>
  <c r="E7" i="3"/>
  <c r="F7" i="3" s="1"/>
  <c r="G7" i="3" s="1"/>
  <c r="E8" i="3"/>
  <c r="H8" i="3" s="1"/>
  <c r="W13" i="3" l="1"/>
  <c r="P8" i="3" s="1"/>
  <c r="P3" i="3"/>
  <c r="P5" i="3"/>
  <c r="P9" i="3"/>
  <c r="Q6" i="3"/>
  <c r="Q3" i="3"/>
  <c r="Q7" i="3"/>
  <c r="Q4" i="3"/>
  <c r="Q8" i="3"/>
  <c r="Q5" i="3"/>
  <c r="P6" i="3"/>
  <c r="P7" i="3"/>
  <c r="F8" i="3"/>
  <c r="G8" i="3" s="1"/>
  <c r="H9" i="3"/>
  <c r="H7" i="3"/>
  <c r="H6" i="3"/>
  <c r="F5" i="3"/>
  <c r="G5" i="3" s="1"/>
  <c r="H3" i="3"/>
  <c r="F4" i="3"/>
  <c r="G4" i="3" s="1"/>
  <c r="G9" i="3"/>
  <c r="R6" i="3" l="1"/>
  <c r="S6" i="3" s="1"/>
  <c r="T6" i="3" s="1"/>
  <c r="R8" i="3"/>
  <c r="S8" i="3" s="1"/>
  <c r="T8" i="3" s="1"/>
  <c r="F21" i="3" s="1"/>
  <c r="D41" i="5" s="1"/>
  <c r="D17" i="1" s="1"/>
  <c r="F17" i="1" s="1"/>
  <c r="R5" i="3"/>
  <c r="S5" i="3" s="1"/>
  <c r="T5" i="3" s="1"/>
  <c r="D18" i="3" s="1"/>
  <c r="D18" i="5" s="1"/>
  <c r="D29" i="1" s="1"/>
  <c r="F29" i="1" s="1"/>
  <c r="R7" i="3"/>
  <c r="S7" i="3" s="1"/>
  <c r="T7" i="3" s="1"/>
  <c r="F20" i="3" s="1"/>
  <c r="D34" i="5" s="1"/>
  <c r="R4" i="3"/>
  <c r="S4" i="3" s="1"/>
  <c r="T4" i="3" s="1"/>
  <c r="G17" i="3" s="1"/>
  <c r="D14" i="5" s="1"/>
  <c r="R9" i="3"/>
  <c r="S9" i="3" s="1"/>
  <c r="T9" i="3" s="1"/>
  <c r="G22" i="3" s="1"/>
  <c r="D49" i="5" s="1"/>
  <c r="R3" i="3"/>
  <c r="S3" i="3" s="1"/>
  <c r="T3" i="3" s="1"/>
  <c r="G21" i="3"/>
  <c r="D42" i="5" s="1"/>
  <c r="E21" i="3"/>
  <c r="D40" i="5" s="1"/>
  <c r="E19" i="3"/>
  <c r="D26" i="5" s="1"/>
  <c r="C19" i="3"/>
  <c r="D24" i="5" s="1"/>
  <c r="H19" i="3"/>
  <c r="D29" i="5" s="1"/>
  <c r="D19" i="3"/>
  <c r="D25" i="5" s="1"/>
  <c r="D23" i="1" s="1"/>
  <c r="F23" i="1" s="1"/>
  <c r="G19" i="3"/>
  <c r="D28" i="5" s="1"/>
  <c r="F19" i="3"/>
  <c r="D27" i="5" s="1"/>
  <c r="D16" i="1" s="1"/>
  <c r="F16" i="1" s="1"/>
  <c r="B19" i="3"/>
  <c r="B21" i="3" l="1"/>
  <c r="I21" i="3" s="1"/>
  <c r="I19" i="3"/>
  <c r="D23" i="5"/>
  <c r="C21" i="3"/>
  <c r="D38" i="5" s="1"/>
  <c r="D21" i="3"/>
  <c r="D39" i="5" s="1"/>
  <c r="D24" i="1" s="1"/>
  <c r="F24" i="1" s="1"/>
  <c r="C18" i="3"/>
  <c r="D17" i="5" s="1"/>
  <c r="H18" i="3"/>
  <c r="D22" i="5" s="1"/>
  <c r="E18" i="3"/>
  <c r="D19" i="5" s="1"/>
  <c r="B18" i="3"/>
  <c r="G18" i="3"/>
  <c r="D21" i="5" s="1"/>
  <c r="H21" i="3"/>
  <c r="D43" i="5" s="1"/>
  <c r="F18" i="3"/>
  <c r="D20" i="5" s="1"/>
  <c r="G20" i="3"/>
  <c r="D35" i="5" s="1"/>
  <c r="C20" i="3"/>
  <c r="D31" i="5" s="1"/>
  <c r="H20" i="3"/>
  <c r="D36" i="5" s="1"/>
  <c r="B20" i="3"/>
  <c r="E20" i="3"/>
  <c r="D33" i="5" s="1"/>
  <c r="D20" i="3"/>
  <c r="D32" i="5" s="1"/>
  <c r="D28" i="1" s="1"/>
  <c r="F28" i="1" s="1"/>
  <c r="E17" i="3"/>
  <c r="D12" i="5" s="1"/>
  <c r="B17" i="3"/>
  <c r="F17" i="3"/>
  <c r="D13" i="5" s="1"/>
  <c r="D18" i="1" s="1"/>
  <c r="F18" i="1" s="1"/>
  <c r="H17" i="3"/>
  <c r="D15" i="5" s="1"/>
  <c r="H22" i="3"/>
  <c r="D50" i="5" s="1"/>
  <c r="C17" i="3"/>
  <c r="D10" i="5" s="1"/>
  <c r="F22" i="3"/>
  <c r="D48" i="5" s="1"/>
  <c r="E22" i="3"/>
  <c r="D47" i="5" s="1"/>
  <c r="D22" i="3"/>
  <c r="D46" i="5" s="1"/>
  <c r="D27" i="1" s="1"/>
  <c r="F27" i="1" s="1"/>
  <c r="D17" i="3"/>
  <c r="D11" i="5" s="1"/>
  <c r="D25" i="1" s="1"/>
  <c r="F25" i="1" s="1"/>
  <c r="C22" i="3"/>
  <c r="D45" i="5" s="1"/>
  <c r="B22" i="3"/>
  <c r="D16" i="3"/>
  <c r="D4" i="5" s="1"/>
  <c r="D26" i="1" s="1"/>
  <c r="F26" i="1" s="1"/>
  <c r="G16" i="3"/>
  <c r="D7" i="5" s="1"/>
  <c r="E16" i="3"/>
  <c r="D5" i="5" s="1"/>
  <c r="F16" i="3"/>
  <c r="D6" i="5" s="1"/>
  <c r="C16" i="3"/>
  <c r="D3" i="5" s="1"/>
  <c r="B16" i="3"/>
  <c r="H16" i="3"/>
  <c r="D8" i="5" s="1"/>
  <c r="D37" i="5" l="1"/>
  <c r="I18" i="3"/>
  <c r="D16" i="5"/>
  <c r="I22" i="3"/>
  <c r="D44" i="5"/>
  <c r="I17" i="3"/>
  <c r="D9" i="5"/>
  <c r="I20" i="3"/>
  <c r="D30" i="5"/>
  <c r="D22" i="1"/>
  <c r="F22" i="1" s="1"/>
  <c r="D20" i="1"/>
  <c r="F20" i="1" s="1"/>
  <c r="D21" i="1"/>
  <c r="F21" i="1" s="1"/>
  <c r="D19" i="1"/>
  <c r="F19" i="1" s="1"/>
  <c r="I16" i="3"/>
  <c r="D2" i="5"/>
  <c r="F31" i="1" l="1"/>
</calcChain>
</file>

<file path=xl/sharedStrings.xml><?xml version="1.0" encoding="utf-8"?>
<sst xmlns="http://schemas.openxmlformats.org/spreadsheetml/2006/main" count="236" uniqueCount="91">
  <si>
    <t>DATOS BASICOS</t>
  </si>
  <si>
    <t>PRESTACIONES SOCIALES</t>
  </si>
  <si>
    <t>SEGURIDAD SOCIAL</t>
  </si>
  <si>
    <t>OTROS</t>
  </si>
  <si>
    <t>COSTO MENSUAL</t>
  </si>
  <si>
    <t>COSTO DIARIO</t>
  </si>
  <si>
    <t>COSTO HORA ORDINARIA</t>
  </si>
  <si>
    <t>CARGO</t>
  </si>
  <si>
    <t>BASICO</t>
  </si>
  <si>
    <t>AUX. TRANS</t>
  </si>
  <si>
    <t>TOTAL</t>
  </si>
  <si>
    <t>CESANTIAS</t>
  </si>
  <si>
    <t>INT. CENSAN</t>
  </si>
  <si>
    <t>PRIMA</t>
  </si>
  <si>
    <t>VACACIONES</t>
  </si>
  <si>
    <t>ARP</t>
  </si>
  <si>
    <t>EPS</t>
  </si>
  <si>
    <t>PENSION</t>
  </si>
  <si>
    <t>CCF</t>
  </si>
  <si>
    <t>VIATICOS</t>
  </si>
  <si>
    <t>ALIMENT</t>
  </si>
  <si>
    <t>DOTACION</t>
  </si>
  <si>
    <t>EXAMENES</t>
  </si>
  <si>
    <t>OBRA</t>
  </si>
  <si>
    <t>ADMON</t>
  </si>
  <si>
    <t>AYUDANTE</t>
  </si>
  <si>
    <t>BOTAS</t>
  </si>
  <si>
    <t>INGRESO</t>
  </si>
  <si>
    <t>JEANS</t>
  </si>
  <si>
    <t>OPTOMETRIA</t>
  </si>
  <si>
    <t>ESPIROMETRIA</t>
  </si>
  <si>
    <t>ING. SUPERV</t>
  </si>
  <si>
    <t>RESPIRADOR</t>
  </si>
  <si>
    <t>ALTURAS</t>
  </si>
  <si>
    <t>SISO</t>
  </si>
  <si>
    <t>GUANTES</t>
  </si>
  <si>
    <t>ELECTROCARD</t>
  </si>
  <si>
    <t>FILTROS</t>
  </si>
  <si>
    <t>AUDIOMETRIA</t>
  </si>
  <si>
    <t>GAFAS</t>
  </si>
  <si>
    <t>TAPAOIDOS</t>
  </si>
  <si>
    <t>CONFINADOS</t>
  </si>
  <si>
    <t>%UTILIDAD</t>
  </si>
  <si>
    <t>TABLA DE PRECIOS</t>
  </si>
  <si>
    <t>VALOR DIA ORDINARIO
(8 horas)</t>
  </si>
  <si>
    <t>HORA ORDINARIA</t>
  </si>
  <si>
    <t>RECARGO NOCTURNO</t>
  </si>
  <si>
    <t>HORA EXTRA DIURNA</t>
  </si>
  <si>
    <t>HORA EXTRA NOCTURNA</t>
  </si>
  <si>
    <t>HORA DOMINICAL</t>
  </si>
  <si>
    <t>HORA EXTRA DOMINICAL (DIURNA)</t>
  </si>
  <si>
    <t>HORA EXTRA DOMINICAL (NOCTURNA)</t>
  </si>
  <si>
    <t>AUXILIO</t>
  </si>
  <si>
    <t>TUBERO</t>
  </si>
  <si>
    <t>PAILERO MONTADOR</t>
  </si>
  <si>
    <t>RESIDENTE DE OBRA</t>
  </si>
  <si>
    <t>CAMISAS</t>
  </si>
  <si>
    <t>VALOR DIA</t>
  </si>
  <si>
    <t>THC</t>
  </si>
  <si>
    <t>DELANTAL</t>
  </si>
  <si>
    <t>CONDICION</t>
  </si>
  <si>
    <t>SI</t>
  </si>
  <si>
    <t>TRANSP</t>
  </si>
  <si>
    <t xml:space="preserve">Señores: </t>
  </si>
  <si>
    <t>ASSISTECK</t>
  </si>
  <si>
    <t>Atn. Ing. Jhon Jairo Galarza</t>
  </si>
  <si>
    <t xml:space="preserve">jgalarza@assistech.com.co </t>
  </si>
  <si>
    <t>TIPO</t>
  </si>
  <si>
    <t>VALOR</t>
  </si>
  <si>
    <t>HORA</t>
  </si>
  <si>
    <t>HORAS</t>
  </si>
  <si>
    <t>Condiciones Comerciales</t>
  </si>
  <si>
    <t>2.</t>
  </si>
  <si>
    <t>3.</t>
  </si>
  <si>
    <t xml:space="preserve">1.	</t>
  </si>
  <si>
    <t>A los anteriores valores agregar el 19% de IVA</t>
  </si>
  <si>
    <t>CANT</t>
  </si>
  <si>
    <t>Agradezco la atención prestada.</t>
  </si>
  <si>
    <t>Cordialmente,</t>
  </si>
  <si>
    <t>Ing. Residente</t>
  </si>
  <si>
    <t>SOLDADOR</t>
  </si>
  <si>
    <t>Victor Hugo Ortiz Urbano</t>
  </si>
  <si>
    <t>Total</t>
  </si>
  <si>
    <t>Asunto: Recargo Mano de Obra Jornada Adicional Proyecto Tecnoquimicas</t>
  </si>
  <si>
    <t>De acuerdo a solicitud nos permitimos presentar propuesta economica que incluye una jornada festiva adicional (01 de septiembre) y la extension de una hora extra por 3 dias ordinarios (30 agosto, 02 y 03 de septiembre)</t>
  </si>
  <si>
    <r>
      <t xml:space="preserve">CR 6A 31 – 53 Barrio Porvenir.   Teléfono: 382 73 71 Celular: 314 7441501  Cali, Valle    Email: </t>
    </r>
    <r>
      <rPr>
        <b/>
        <sz val="9"/>
        <color theme="4" tint="-0.249977111117893"/>
        <rFont val="Calibri"/>
        <family val="2"/>
        <scheme val="minor"/>
      </rPr>
      <t xml:space="preserve">gerencia@minduval.com.co </t>
    </r>
  </si>
  <si>
    <t xml:space="preserve">Santiago de Cali, 30 de agosto de 2024
</t>
  </si>
  <si>
    <t>COT</t>
  </si>
  <si>
    <t>3008-2024</t>
  </si>
  <si>
    <t xml:space="preserve">Pago 30 días fecha factura </t>
  </si>
  <si>
    <t>Ejecución una vez recibida la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</si>
</sst>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\-#,##0\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9"/>
      <color theme="4" tint="-0.249977111117893"/>
      <name val="Calibri"/>
      <family val="2"/>
      <scheme val="minor"/>
    </font>
    <font>
      <b/>
      <u/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 tint="-0.249977111117893"/>
      </bottom>
      <diagonal/>
    </border>
    <border>
      <left/>
      <right/>
      <top style="thick">
        <color theme="4" tint="-0.249977111117893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79">
    <xf numFmtId="0" fontId="0" fillId="0" borderId="0" xfId="0"/>
    <xf numFmtId="9" fontId="2" fillId="10" borderId="8" xfId="3" applyFont="1" applyFill="1" applyBorder="1"/>
    <xf numFmtId="164" fontId="3" fillId="11" borderId="10" xfId="1" applyNumberFormat="1" applyFont="1" applyFill="1" applyBorder="1" applyAlignment="1">
      <alignment horizontal="center" vertical="center" wrapText="1"/>
    </xf>
    <xf numFmtId="0" fontId="0" fillId="12" borderId="0" xfId="0" applyFill="1"/>
    <xf numFmtId="0" fontId="0" fillId="12" borderId="0" xfId="0" applyFill="1" applyAlignment="1">
      <alignment vertical="center"/>
    </xf>
    <xf numFmtId="164" fontId="0" fillId="12" borderId="0" xfId="1" applyNumberFormat="1" applyFont="1" applyFill="1"/>
    <xf numFmtId="0" fontId="2" fillId="12" borderId="0" xfId="0" applyFont="1" applyFill="1" applyAlignment="1">
      <alignment horizontal="center"/>
    </xf>
    <xf numFmtId="0" fontId="2" fillId="0" borderId="0" xfId="0" applyFont="1"/>
    <xf numFmtId="0" fontId="6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64" fontId="5" fillId="2" borderId="4" xfId="1" applyNumberFormat="1" applyFont="1" applyFill="1" applyBorder="1" applyAlignment="1">
      <alignment horizontal="center" vertical="center"/>
    </xf>
    <xf numFmtId="164" fontId="3" fillId="4" borderId="4" xfId="1" applyNumberFormat="1" applyFont="1" applyFill="1" applyBorder="1" applyAlignment="1">
      <alignment horizontal="center" vertical="center"/>
    </xf>
    <xf numFmtId="164" fontId="3" fillId="5" borderId="4" xfId="1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164" fontId="7" fillId="0" borderId="4" xfId="1" applyNumberFormat="1" applyFont="1" applyBorder="1" applyAlignment="1">
      <alignment vertical="center"/>
    </xf>
    <xf numFmtId="164" fontId="7" fillId="0" borderId="4" xfId="0" applyNumberFormat="1" applyFont="1" applyBorder="1" applyAlignment="1">
      <alignment vertical="center"/>
    </xf>
    <xf numFmtId="0" fontId="3" fillId="12" borderId="13" xfId="0" applyFont="1" applyFill="1" applyBorder="1" applyAlignment="1">
      <alignment vertical="center"/>
    </xf>
    <xf numFmtId="0" fontId="3" fillId="12" borderId="14" xfId="0" applyFont="1" applyFill="1" applyBorder="1" applyAlignment="1">
      <alignment vertical="center"/>
    </xf>
    <xf numFmtId="164" fontId="3" fillId="9" borderId="0" xfId="1" applyNumberFormat="1" applyFont="1" applyFill="1" applyBorder="1" applyAlignment="1">
      <alignment vertical="center"/>
    </xf>
    <xf numFmtId="164" fontId="3" fillId="9" borderId="16" xfId="1" applyNumberFormat="1" applyFont="1" applyFill="1" applyBorder="1" applyAlignment="1">
      <alignment vertical="center"/>
    </xf>
    <xf numFmtId="0" fontId="3" fillId="5" borderId="18" xfId="0" applyFont="1" applyFill="1" applyBorder="1" applyAlignment="1">
      <alignment horizontal="center" vertical="center"/>
    </xf>
    <xf numFmtId="164" fontId="3" fillId="5" borderId="19" xfId="1" applyNumberFormat="1" applyFont="1" applyFill="1" applyBorder="1" applyAlignment="1">
      <alignment horizontal="center" vertical="center"/>
    </xf>
    <xf numFmtId="0" fontId="7" fillId="12" borderId="0" xfId="0" applyFont="1" applyFill="1" applyAlignment="1">
      <alignment vertical="center"/>
    </xf>
    <xf numFmtId="0" fontId="3" fillId="12" borderId="0" xfId="0" applyFont="1" applyFill="1" applyAlignment="1">
      <alignment horizontal="center"/>
    </xf>
    <xf numFmtId="41" fontId="3" fillId="12" borderId="0" xfId="2" applyFont="1" applyFill="1" applyAlignment="1">
      <alignment horizontal="center"/>
    </xf>
    <xf numFmtId="0" fontId="7" fillId="12" borderId="0" xfId="0" applyFont="1" applyFill="1"/>
    <xf numFmtId="41" fontId="7" fillId="12" borderId="0" xfId="2" applyFont="1" applyFill="1"/>
    <xf numFmtId="165" fontId="7" fillId="12" borderId="0" xfId="2" applyNumberFormat="1" applyFont="1" applyFill="1" applyAlignment="1">
      <alignment horizontal="right"/>
    </xf>
    <xf numFmtId="0" fontId="3" fillId="9" borderId="11" xfId="0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center" vertical="center"/>
    </xf>
    <xf numFmtId="41" fontId="3" fillId="13" borderId="6" xfId="2" applyFont="1" applyFill="1" applyBorder="1" applyAlignment="1">
      <alignment horizontal="center" vertical="center"/>
    </xf>
    <xf numFmtId="41" fontId="3" fillId="13" borderId="7" xfId="2" applyFont="1" applyFill="1" applyBorder="1" applyAlignment="1">
      <alignment horizontal="center" vertical="center"/>
    </xf>
    <xf numFmtId="165" fontId="3" fillId="13" borderId="7" xfId="2" applyNumberFormat="1" applyFont="1" applyFill="1" applyBorder="1" applyAlignment="1">
      <alignment horizontal="right" vertical="center"/>
    </xf>
    <xf numFmtId="0" fontId="3" fillId="2" borderId="10" xfId="0" applyFont="1" applyFill="1" applyBorder="1" applyAlignment="1">
      <alignment horizontal="center" vertical="center"/>
    </xf>
    <xf numFmtId="0" fontId="7" fillId="0" borderId="4" xfId="0" applyFont="1" applyBorder="1"/>
    <xf numFmtId="164" fontId="7" fillId="0" borderId="4" xfId="1" applyNumberFormat="1" applyFont="1" applyBorder="1"/>
    <xf numFmtId="0" fontId="10" fillId="12" borderId="0" xfId="0" applyFont="1" applyFill="1" applyAlignment="1">
      <alignment horizontal="justify" vertical="center"/>
    </xf>
    <xf numFmtId="0" fontId="2" fillId="12" borderId="0" xfId="0" applyFont="1" applyFill="1"/>
    <xf numFmtId="0" fontId="0" fillId="12" borderId="0" xfId="0" applyFill="1" applyAlignment="1">
      <alignment wrapText="1"/>
    </xf>
    <xf numFmtId="0" fontId="0" fillId="12" borderId="0" xfId="0" applyFill="1" applyAlignment="1">
      <alignment vertical="center" wrapText="1"/>
    </xf>
    <xf numFmtId="164" fontId="3" fillId="11" borderId="10" xfId="1" applyNumberFormat="1" applyFont="1" applyFill="1" applyBorder="1" applyAlignment="1">
      <alignment horizontal="left" vertical="center" wrapText="1"/>
    </xf>
    <xf numFmtId="164" fontId="0" fillId="12" borderId="0" xfId="1" applyNumberFormat="1" applyFont="1" applyFill="1" applyAlignment="1"/>
    <xf numFmtId="0" fontId="5" fillId="2" borderId="10" xfId="0" applyFont="1" applyFill="1" applyBorder="1" applyAlignment="1">
      <alignment horizontal="center" vertical="center"/>
    </xf>
    <xf numFmtId="164" fontId="5" fillId="2" borderId="10" xfId="1" applyNumberFormat="1" applyFont="1" applyFill="1" applyBorder="1" applyAlignment="1">
      <alignment horizontal="center" vertical="center"/>
    </xf>
    <xf numFmtId="164" fontId="0" fillId="12" borderId="0" xfId="0" applyNumberFormat="1" applyFill="1"/>
    <xf numFmtId="0" fontId="0" fillId="12" borderId="0" xfId="0" applyFill="1" applyAlignment="1">
      <alignment horizontal="center"/>
    </xf>
    <xf numFmtId="0" fontId="2" fillId="12" borderId="20" xfId="0" applyFont="1" applyFill="1" applyBorder="1" applyAlignment="1">
      <alignment horizontal="right"/>
    </xf>
    <xf numFmtId="164" fontId="2" fillId="12" borderId="20" xfId="0" applyNumberFormat="1" applyFont="1" applyFill="1" applyBorder="1" applyAlignment="1">
      <alignment horizontal="right"/>
    </xf>
    <xf numFmtId="0" fontId="0" fillId="12" borderId="0" xfId="0" applyFill="1" applyAlignment="1">
      <alignment horizontal="center" vertical="center" wrapText="1"/>
    </xf>
    <xf numFmtId="164" fontId="1" fillId="12" borderId="0" xfId="1" applyNumberFormat="1" applyFont="1" applyFill="1"/>
    <xf numFmtId="0" fontId="0" fillId="12" borderId="21" xfId="0" applyFill="1" applyBorder="1"/>
    <xf numFmtId="164" fontId="0" fillId="12" borderId="21" xfId="1" applyNumberFormat="1" applyFont="1" applyFill="1" applyBorder="1"/>
    <xf numFmtId="0" fontId="4" fillId="12" borderId="0" xfId="0" applyFont="1" applyFill="1" applyAlignment="1">
      <alignment horizontal="right"/>
    </xf>
    <xf numFmtId="0" fontId="12" fillId="12" borderId="0" xfId="0" applyFont="1" applyFill="1"/>
    <xf numFmtId="0" fontId="2" fillId="12" borderId="0" xfId="0" applyFont="1" applyFill="1" applyAlignment="1">
      <alignment horizontal="left"/>
    </xf>
    <xf numFmtId="0" fontId="0" fillId="12" borderId="0" xfId="0" applyFill="1" applyAlignment="1">
      <alignment horizontal="left"/>
    </xf>
    <xf numFmtId="49" fontId="0" fillId="12" borderId="0" xfId="0" applyNumberFormat="1" applyFill="1" applyAlignment="1">
      <alignment horizontal="justify" wrapText="1"/>
    </xf>
    <xf numFmtId="0" fontId="3" fillId="12" borderId="22" xfId="0" applyFont="1" applyFill="1" applyBorder="1" applyAlignment="1">
      <alignment horizontal="center" wrapText="1"/>
    </xf>
    <xf numFmtId="0" fontId="0" fillId="12" borderId="0" xfId="0" applyFill="1" applyAlignment="1">
      <alignment horizontal="left" wrapText="1"/>
    </xf>
    <xf numFmtId="0" fontId="9" fillId="12" borderId="0" xfId="0" applyFont="1" applyFill="1" applyAlignment="1">
      <alignment horizontal="left" vertical="center"/>
    </xf>
    <xf numFmtId="0" fontId="10" fillId="12" borderId="0" xfId="0" applyFont="1" applyFill="1" applyAlignment="1">
      <alignment horizontal="left" vertical="center"/>
    </xf>
    <xf numFmtId="0" fontId="8" fillId="12" borderId="0" xfId="4" applyFill="1" applyAlignment="1">
      <alignment horizontal="left" vertical="center"/>
    </xf>
    <xf numFmtId="0" fontId="3" fillId="8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/>
    </xf>
    <xf numFmtId="164" fontId="3" fillId="11" borderId="9" xfId="1" applyNumberFormat="1" applyFont="1" applyFill="1" applyBorder="1" applyAlignment="1">
      <alignment horizontal="center" vertical="center" wrapText="1"/>
    </xf>
    <xf numFmtId="164" fontId="3" fillId="11" borderId="10" xfId="1" applyNumberFormat="1" applyFont="1" applyFill="1" applyBorder="1" applyAlignment="1">
      <alignment horizontal="center" vertical="center" wrapText="1"/>
    </xf>
    <xf numFmtId="0" fontId="3" fillId="12" borderId="12" xfId="0" applyFont="1" applyFill="1" applyBorder="1" applyAlignment="1">
      <alignment horizontal="right" vertical="center" wrapText="1"/>
    </xf>
    <xf numFmtId="0" fontId="3" fillId="12" borderId="15" xfId="0" applyFont="1" applyFill="1" applyBorder="1" applyAlignment="1">
      <alignment horizontal="right" vertical="center" wrapText="1"/>
    </xf>
    <xf numFmtId="0" fontId="3" fillId="12" borderId="17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</cellXfs>
  <cellStyles count="5">
    <cellStyle name="Hipervínculo" xfId="4" builtinId="8"/>
    <cellStyle name="Millares" xfId="1" builtinId="3"/>
    <cellStyle name="Millares [0]" xfId="2" builtinId="6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85725</xdr:colOff>
      <xdr:row>10</xdr:row>
      <xdr:rowOff>161925</xdr:rowOff>
    </xdr:from>
    <xdr:to>
      <xdr:col>15</xdr:col>
      <xdr:colOff>781050</xdr:colOff>
      <xdr:row>12</xdr:row>
      <xdr:rowOff>28575</xdr:rowOff>
    </xdr:to>
    <xdr:sp macro="" textlink="">
      <xdr:nvSpPr>
        <xdr:cNvPr id="2" name="Flecha: hacia la izquierda 1">
          <a:extLst>
            <a:ext uri="{FF2B5EF4-FFF2-40B4-BE49-F238E27FC236}">
              <a16:creationId xmlns:a16="http://schemas.microsoft.com/office/drawing/2014/main" id="{912FF0A9-19D3-88FE-39FF-C8B0DA821D7A}"/>
            </a:ext>
          </a:extLst>
        </xdr:cNvPr>
        <xdr:cNvSpPr/>
      </xdr:nvSpPr>
      <xdr:spPr>
        <a:xfrm>
          <a:off x="12115800" y="2095500"/>
          <a:ext cx="695325" cy="25717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638175</xdr:colOff>
      <xdr:row>0</xdr:row>
      <xdr:rowOff>0</xdr:rowOff>
    </xdr:from>
    <xdr:to>
      <xdr:col>5</xdr:col>
      <xdr:colOff>723901</xdr:colOff>
      <xdr:row>2</xdr:row>
      <xdr:rowOff>105301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3E85F4-E9D1-E96C-BC0D-46A6263039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709"/>
        <a:stretch/>
      </xdr:blipFill>
      <xdr:spPr>
        <a:xfrm>
          <a:off x="4257675" y="0"/>
          <a:ext cx="1609726" cy="943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galarza@assistech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E8C86-E931-40F7-A74A-0B2D20BEE92E}">
  <dimension ref="A1:AC22"/>
  <sheetViews>
    <sheetView tabSelected="1" workbookViewId="0">
      <selection activeCell="O4" sqref="O4"/>
    </sheetView>
  </sheetViews>
  <sheetFormatPr baseColWidth="10" defaultRowHeight="15" x14ac:dyDescent="0.25"/>
  <cols>
    <col min="1" max="1" width="17.7109375" style="4" bestFit="1" customWidth="1"/>
    <col min="2" max="4" width="9.7109375" style="4" customWidth="1"/>
    <col min="5" max="5" width="10.5703125" style="4" bestFit="1" customWidth="1"/>
    <col min="6" max="9" width="10.7109375" style="4" customWidth="1"/>
    <col min="10" max="13" width="9.7109375" style="4" customWidth="1"/>
    <col min="14" max="17" width="11.7109375" style="4" customWidth="1"/>
    <col min="18" max="20" width="10.7109375" style="4" customWidth="1"/>
    <col min="21" max="21" width="3.7109375" style="4" customWidth="1"/>
    <col min="22" max="22" width="10.42578125" style="4" bestFit="1" customWidth="1"/>
    <col min="23" max="24" width="9.7109375" style="4" customWidth="1"/>
    <col min="25" max="25" width="3.7109375" style="4" customWidth="1"/>
    <col min="26" max="26" width="12" style="4" bestFit="1" customWidth="1"/>
    <col min="27" max="28" width="9.7109375" style="4" customWidth="1"/>
    <col min="29" max="16384" width="11.42578125" style="4"/>
  </cols>
  <sheetData>
    <row r="1" spans="1:29" x14ac:dyDescent="0.25">
      <c r="A1" s="71" t="s">
        <v>0</v>
      </c>
      <c r="B1" s="72"/>
      <c r="C1" s="72"/>
      <c r="D1" s="72"/>
      <c r="E1" s="73"/>
      <c r="F1" s="74" t="s">
        <v>1</v>
      </c>
      <c r="G1" s="74"/>
      <c r="H1" s="74"/>
      <c r="I1" s="74"/>
      <c r="J1" s="75" t="s">
        <v>2</v>
      </c>
      <c r="K1" s="75"/>
      <c r="L1" s="75"/>
      <c r="M1" s="75"/>
      <c r="N1" s="76" t="s">
        <v>3</v>
      </c>
      <c r="O1" s="76"/>
      <c r="P1" s="76"/>
      <c r="Q1" s="76"/>
      <c r="R1" s="77" t="s">
        <v>4</v>
      </c>
      <c r="S1" s="78" t="s">
        <v>5</v>
      </c>
      <c r="T1" s="64" t="s">
        <v>6</v>
      </c>
    </row>
    <row r="2" spans="1:29" x14ac:dyDescent="0.25">
      <c r="A2" s="11" t="s">
        <v>7</v>
      </c>
      <c r="B2" s="12" t="s">
        <v>8</v>
      </c>
      <c r="C2" s="12" t="s">
        <v>9</v>
      </c>
      <c r="D2" s="12" t="s">
        <v>52</v>
      </c>
      <c r="E2" s="11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J2" s="9" t="s">
        <v>15</v>
      </c>
      <c r="K2" s="13" t="s">
        <v>16</v>
      </c>
      <c r="L2" s="13" t="s">
        <v>17</v>
      </c>
      <c r="M2" s="13" t="s">
        <v>18</v>
      </c>
      <c r="N2" s="10" t="s">
        <v>19</v>
      </c>
      <c r="O2" s="14" t="s">
        <v>20</v>
      </c>
      <c r="P2" s="14" t="s">
        <v>21</v>
      </c>
      <c r="Q2" s="14" t="s">
        <v>22</v>
      </c>
      <c r="R2" s="77"/>
      <c r="S2" s="78"/>
      <c r="T2" s="64"/>
      <c r="U2" s="6"/>
      <c r="V2" s="25" t="s">
        <v>21</v>
      </c>
      <c r="W2" s="26" t="s">
        <v>23</v>
      </c>
      <c r="X2" s="25" t="s">
        <v>24</v>
      </c>
      <c r="Y2" s="25"/>
      <c r="Z2" s="25" t="s">
        <v>22</v>
      </c>
      <c r="AA2" s="26" t="s">
        <v>23</v>
      </c>
      <c r="AB2" s="25" t="s">
        <v>24</v>
      </c>
      <c r="AC2" s="25" t="s">
        <v>60</v>
      </c>
    </row>
    <row r="3" spans="1:29" x14ac:dyDescent="0.25">
      <c r="A3" s="15" t="s">
        <v>55</v>
      </c>
      <c r="B3" s="16">
        <v>2000000</v>
      </c>
      <c r="C3" s="16">
        <v>164000</v>
      </c>
      <c r="D3" s="16">
        <v>1000000</v>
      </c>
      <c r="E3" s="16">
        <f t="shared" ref="E3" si="0">+SUM(B3:D3)</f>
        <v>3164000</v>
      </c>
      <c r="F3" s="16">
        <f>+(E3-D3)*8.33%</f>
        <v>180261.2</v>
      </c>
      <c r="G3" s="16">
        <f>+F3*12%</f>
        <v>21631.344000000001</v>
      </c>
      <c r="H3" s="16">
        <f>+(E3-D3)*8.33%</f>
        <v>180261.2</v>
      </c>
      <c r="I3" s="16">
        <f>+B3*4.16%</f>
        <v>83200</v>
      </c>
      <c r="J3" s="16">
        <f>+B3*6.96%</f>
        <v>139200</v>
      </c>
      <c r="K3" s="16">
        <f>+B3*4%</f>
        <v>80000</v>
      </c>
      <c r="L3" s="16">
        <f>+B3*12%</f>
        <v>240000</v>
      </c>
      <c r="M3" s="16">
        <f>+B3*4%</f>
        <v>80000</v>
      </c>
      <c r="N3" s="16">
        <v>0</v>
      </c>
      <c r="O3" s="16">
        <v>0</v>
      </c>
      <c r="P3" s="16">
        <f>+$X$13</f>
        <v>263900</v>
      </c>
      <c r="Q3" s="16">
        <f t="shared" ref="Q3:Q9" si="1">+$AB$13</f>
        <v>115000</v>
      </c>
      <c r="R3" s="17">
        <f>+SUM(E3:Q3)</f>
        <v>4547453.7440000009</v>
      </c>
      <c r="S3" s="16">
        <f>+R3/26</f>
        <v>174902.06707692312</v>
      </c>
      <c r="T3" s="16">
        <f>+S3/8</f>
        <v>21862.75838461539</v>
      </c>
      <c r="U3" s="3"/>
      <c r="V3" s="27" t="s">
        <v>26</v>
      </c>
      <c r="W3" s="28">
        <v>128000</v>
      </c>
      <c r="X3" s="28">
        <v>128000</v>
      </c>
      <c r="Y3" s="27"/>
      <c r="Z3" s="27" t="s">
        <v>27</v>
      </c>
      <c r="AA3" s="29">
        <v>20000</v>
      </c>
      <c r="AB3" s="29">
        <v>20000</v>
      </c>
      <c r="AC3" s="24"/>
    </row>
    <row r="4" spans="1:29" x14ac:dyDescent="0.25">
      <c r="A4" s="15" t="s">
        <v>31</v>
      </c>
      <c r="B4" s="16">
        <v>2000000</v>
      </c>
      <c r="C4" s="16">
        <v>164000</v>
      </c>
      <c r="D4" s="16">
        <v>700000</v>
      </c>
      <c r="E4" s="16">
        <f>+SUM(B4:D4)</f>
        <v>2864000</v>
      </c>
      <c r="F4" s="16">
        <f>+(E4-D4)*8.33%</f>
        <v>180261.2</v>
      </c>
      <c r="G4" s="16">
        <f>+F4*12%</f>
        <v>21631.344000000001</v>
      </c>
      <c r="H4" s="16">
        <f>+(E4-D4)*8.33%</f>
        <v>180261.2</v>
      </c>
      <c r="I4" s="16">
        <f>+B4*4.16%</f>
        <v>83200</v>
      </c>
      <c r="J4" s="16">
        <f>+B4*6.96%</f>
        <v>139200</v>
      </c>
      <c r="K4" s="16">
        <f>+B4*4%</f>
        <v>80000</v>
      </c>
      <c r="L4" s="16">
        <f>+B4*12%</f>
        <v>240000</v>
      </c>
      <c r="M4" s="16">
        <f>+B4*4%</f>
        <v>80000</v>
      </c>
      <c r="N4" s="16">
        <f t="shared" ref="N4:N9" si="2">+$N$12*26</f>
        <v>520000</v>
      </c>
      <c r="O4" s="16">
        <f t="shared" ref="O4:O9" si="3">+$O$12*26</f>
        <v>481000</v>
      </c>
      <c r="P4" s="16">
        <f>+$X$13</f>
        <v>263900</v>
      </c>
      <c r="Q4" s="16">
        <f t="shared" si="1"/>
        <v>115000</v>
      </c>
      <c r="R4" s="17">
        <f>+SUM(E4:Q4)</f>
        <v>5248453.7440000009</v>
      </c>
      <c r="S4" s="16">
        <f>+R4/26</f>
        <v>201863.60553846156</v>
      </c>
      <c r="T4" s="16">
        <f>+S4/8</f>
        <v>25232.950692307695</v>
      </c>
      <c r="U4" s="3"/>
      <c r="V4" s="27" t="s">
        <v>28</v>
      </c>
      <c r="W4" s="28">
        <f>31500*2</f>
        <v>63000</v>
      </c>
      <c r="X4" s="28">
        <f>30000*2</f>
        <v>60000</v>
      </c>
      <c r="Y4" s="27"/>
      <c r="Z4" s="27" t="s">
        <v>29</v>
      </c>
      <c r="AA4" s="29">
        <v>16000</v>
      </c>
      <c r="AB4" s="29">
        <v>16000</v>
      </c>
      <c r="AC4" s="24"/>
    </row>
    <row r="5" spans="1:29" x14ac:dyDescent="0.25">
      <c r="A5" s="15" t="s">
        <v>80</v>
      </c>
      <c r="B5" s="16">
        <v>2000000</v>
      </c>
      <c r="C5" s="16">
        <v>164000</v>
      </c>
      <c r="D5" s="16">
        <v>1000000</v>
      </c>
      <c r="E5" s="16">
        <f>+SUM(B5:D5)</f>
        <v>3164000</v>
      </c>
      <c r="F5" s="16">
        <f>+(E5-D5)*8.33%</f>
        <v>180261.2</v>
      </c>
      <c r="G5" s="16">
        <f>+F5*12%</f>
        <v>21631.344000000001</v>
      </c>
      <c r="H5" s="16">
        <f>+(E5-D5)*8.33%</f>
        <v>180261.2</v>
      </c>
      <c r="I5" s="16">
        <f>+B5*4.16%</f>
        <v>83200</v>
      </c>
      <c r="J5" s="16">
        <f>+B5*6.96%</f>
        <v>139200</v>
      </c>
      <c r="K5" s="16">
        <f>+B5*4%</f>
        <v>80000</v>
      </c>
      <c r="L5" s="16">
        <f>+B5*12%</f>
        <v>240000</v>
      </c>
      <c r="M5" s="16">
        <f>+B5*4%</f>
        <v>80000</v>
      </c>
      <c r="N5" s="16">
        <f t="shared" si="2"/>
        <v>520000</v>
      </c>
      <c r="O5" s="16">
        <f t="shared" si="3"/>
        <v>481000</v>
      </c>
      <c r="P5" s="16">
        <f>+$W$13</f>
        <v>425600</v>
      </c>
      <c r="Q5" s="16">
        <f t="shared" si="1"/>
        <v>115000</v>
      </c>
      <c r="R5" s="17">
        <f>+SUM(E5:Q5)</f>
        <v>5710153.7440000009</v>
      </c>
      <c r="S5" s="16">
        <f>+R5/26</f>
        <v>219621.29784615387</v>
      </c>
      <c r="T5" s="16">
        <f>+S5/8</f>
        <v>27452.662230769234</v>
      </c>
      <c r="U5" s="3"/>
      <c r="V5" s="27" t="s">
        <v>56</v>
      </c>
      <c r="W5" s="28">
        <f>45000*2</f>
        <v>90000</v>
      </c>
      <c r="X5" s="28">
        <f>35000*2</f>
        <v>70000</v>
      </c>
      <c r="Y5" s="27"/>
      <c r="Z5" s="27" t="s">
        <v>30</v>
      </c>
      <c r="AA5" s="29">
        <v>16000</v>
      </c>
      <c r="AB5" s="29">
        <v>16000</v>
      </c>
      <c r="AC5" s="24"/>
    </row>
    <row r="6" spans="1:29" x14ac:dyDescent="0.25">
      <c r="A6" s="15" t="s">
        <v>53</v>
      </c>
      <c r="B6" s="16">
        <v>2000000</v>
      </c>
      <c r="C6" s="16">
        <v>164000</v>
      </c>
      <c r="D6" s="16">
        <v>800000</v>
      </c>
      <c r="E6" s="16">
        <f t="shared" ref="E6" si="4">+SUM(B6:D6)</f>
        <v>2964000</v>
      </c>
      <c r="F6" s="16">
        <f t="shared" ref="F6" si="5">+(E6-D6)*8.33%</f>
        <v>180261.2</v>
      </c>
      <c r="G6" s="16">
        <f t="shared" ref="G6" si="6">+F6*12%</f>
        <v>21631.344000000001</v>
      </c>
      <c r="H6" s="16">
        <f t="shared" ref="H6" si="7">+(E6-D6)*8.33%</f>
        <v>180261.2</v>
      </c>
      <c r="I6" s="16">
        <f t="shared" ref="I6" si="8">+B6*4.16%</f>
        <v>83200</v>
      </c>
      <c r="J6" s="16">
        <f t="shared" ref="J6" si="9">+B6*6.96%</f>
        <v>139200</v>
      </c>
      <c r="K6" s="16">
        <f t="shared" ref="K6" si="10">+B6*4%</f>
        <v>80000</v>
      </c>
      <c r="L6" s="16">
        <f t="shared" ref="L6" si="11">+B6*12%</f>
        <v>240000</v>
      </c>
      <c r="M6" s="16">
        <f t="shared" ref="M6" si="12">+B6*4%</f>
        <v>80000</v>
      </c>
      <c r="N6" s="16">
        <f t="shared" si="2"/>
        <v>520000</v>
      </c>
      <c r="O6" s="16">
        <f t="shared" si="3"/>
        <v>481000</v>
      </c>
      <c r="P6" s="16">
        <f>+$W$13</f>
        <v>425600</v>
      </c>
      <c r="Q6" s="16">
        <f t="shared" si="1"/>
        <v>115000</v>
      </c>
      <c r="R6" s="17">
        <f t="shared" ref="R6" si="13">+SUM(E6:Q6)</f>
        <v>5510153.7440000009</v>
      </c>
      <c r="S6" s="16">
        <f t="shared" ref="S6" si="14">+R6/26</f>
        <v>211928.99015384619</v>
      </c>
      <c r="T6" s="16">
        <f t="shared" ref="T6" si="15">+S6/8</f>
        <v>26491.123769230773</v>
      </c>
      <c r="U6" s="3"/>
      <c r="V6" s="27" t="s">
        <v>32</v>
      </c>
      <c r="W6" s="28">
        <v>43600</v>
      </c>
      <c r="X6" s="28"/>
      <c r="Y6" s="27"/>
      <c r="Z6" s="27" t="s">
        <v>33</v>
      </c>
      <c r="AA6" s="29">
        <v>65000</v>
      </c>
      <c r="AB6" s="29">
        <v>0</v>
      </c>
      <c r="AC6" s="24"/>
    </row>
    <row r="7" spans="1:29" x14ac:dyDescent="0.25">
      <c r="A7" s="15" t="s">
        <v>54</v>
      </c>
      <c r="B7" s="16">
        <v>1700000</v>
      </c>
      <c r="C7" s="16">
        <v>164000</v>
      </c>
      <c r="D7" s="16">
        <v>300000</v>
      </c>
      <c r="E7" s="16">
        <f>+SUM(B7:D7)</f>
        <v>2164000</v>
      </c>
      <c r="F7" s="16">
        <f>+(E7-D7)*8.33%</f>
        <v>155271.20000000001</v>
      </c>
      <c r="G7" s="16">
        <f>+F7*12%</f>
        <v>18632.544000000002</v>
      </c>
      <c r="H7" s="16">
        <f>+(E7-D7)*8.33%</f>
        <v>155271.20000000001</v>
      </c>
      <c r="I7" s="16">
        <f>+B7*4.16%</f>
        <v>70720</v>
      </c>
      <c r="J7" s="16">
        <f>+B7*6.96%</f>
        <v>118319.99999999999</v>
      </c>
      <c r="K7" s="16">
        <f>+B7*4%</f>
        <v>68000</v>
      </c>
      <c r="L7" s="16">
        <f>+B7*12%</f>
        <v>204000</v>
      </c>
      <c r="M7" s="16">
        <f>+B7*4%</f>
        <v>68000</v>
      </c>
      <c r="N7" s="16">
        <f t="shared" si="2"/>
        <v>520000</v>
      </c>
      <c r="O7" s="16">
        <f t="shared" si="3"/>
        <v>481000</v>
      </c>
      <c r="P7" s="16">
        <f>+$W$13</f>
        <v>425600</v>
      </c>
      <c r="Q7" s="16">
        <f t="shared" si="1"/>
        <v>115000</v>
      </c>
      <c r="R7" s="17">
        <f>+SUM(E7:Q7)</f>
        <v>4563814.9440000001</v>
      </c>
      <c r="S7" s="16">
        <f>+R7/26</f>
        <v>175531.34400000001</v>
      </c>
      <c r="T7" s="16">
        <f>+S7/8</f>
        <v>21941.418000000001</v>
      </c>
      <c r="U7" s="3"/>
      <c r="V7" s="27" t="s">
        <v>37</v>
      </c>
      <c r="W7" s="28">
        <f>35800*2</f>
        <v>71600</v>
      </c>
      <c r="X7" s="28"/>
      <c r="Y7" s="27"/>
      <c r="Z7" s="27" t="s">
        <v>36</v>
      </c>
      <c r="AA7" s="29">
        <v>35000</v>
      </c>
      <c r="AB7" s="29">
        <v>35000</v>
      </c>
      <c r="AC7" s="24"/>
    </row>
    <row r="8" spans="1:29" ht="15.75" thickBot="1" x14ac:dyDescent="0.3">
      <c r="A8" s="15" t="s">
        <v>25</v>
      </c>
      <c r="B8" s="16">
        <v>1300000</v>
      </c>
      <c r="C8" s="16">
        <v>164000</v>
      </c>
      <c r="D8" s="16">
        <v>200000</v>
      </c>
      <c r="E8" s="16">
        <f>+SUM(B8:D8)</f>
        <v>1664000</v>
      </c>
      <c r="F8" s="16">
        <f t="shared" ref="F8:F9" si="16">+(E8-D8)*8.33%</f>
        <v>121951.2</v>
      </c>
      <c r="G8" s="16">
        <f>+F8*12%</f>
        <v>14634.143999999998</v>
      </c>
      <c r="H8" s="16">
        <f t="shared" ref="H8:H9" si="17">+(E8-D8)*8.33%</f>
        <v>121951.2</v>
      </c>
      <c r="I8" s="16">
        <f t="shared" ref="I8:I9" si="18">+B8*4.16%</f>
        <v>54080</v>
      </c>
      <c r="J8" s="16">
        <f t="shared" ref="J8:J9" si="19">+B8*6.96%</f>
        <v>90480</v>
      </c>
      <c r="K8" s="16">
        <f>+B8*4%</f>
        <v>52000</v>
      </c>
      <c r="L8" s="16">
        <f>+B8*12%</f>
        <v>156000</v>
      </c>
      <c r="M8" s="16">
        <f>+B8*4%</f>
        <v>52000</v>
      </c>
      <c r="N8" s="16">
        <f t="shared" si="2"/>
        <v>520000</v>
      </c>
      <c r="O8" s="16">
        <f t="shared" si="3"/>
        <v>481000</v>
      </c>
      <c r="P8" s="16">
        <f>+$W$13</f>
        <v>425600</v>
      </c>
      <c r="Q8" s="16">
        <f t="shared" si="1"/>
        <v>115000</v>
      </c>
      <c r="R8" s="17">
        <f>+SUM(E8:Q8)</f>
        <v>3868696.5439999998</v>
      </c>
      <c r="S8" s="16">
        <f>+R8/26</f>
        <v>148796.02092307693</v>
      </c>
      <c r="T8" s="16">
        <f>+S8/8</f>
        <v>18599.502615384616</v>
      </c>
      <c r="U8" s="3"/>
      <c r="V8" s="27" t="s">
        <v>35</v>
      </c>
      <c r="W8" s="28">
        <v>11500</v>
      </c>
      <c r="X8" s="28"/>
      <c r="Y8" s="27"/>
      <c r="Z8" s="27" t="s">
        <v>38</v>
      </c>
      <c r="AA8" s="29">
        <v>8000</v>
      </c>
      <c r="AB8" s="29">
        <v>8000</v>
      </c>
      <c r="AC8" s="24"/>
    </row>
    <row r="9" spans="1:29" ht="15.75" thickBot="1" x14ac:dyDescent="0.3">
      <c r="A9" s="15" t="s">
        <v>34</v>
      </c>
      <c r="B9" s="16">
        <v>1700000</v>
      </c>
      <c r="C9" s="16">
        <v>164000</v>
      </c>
      <c r="D9" s="16">
        <v>300000</v>
      </c>
      <c r="E9" s="16">
        <f t="shared" ref="E9" si="20">+SUM(B9:D9)</f>
        <v>2164000</v>
      </c>
      <c r="F9" s="16">
        <f t="shared" si="16"/>
        <v>155271.20000000001</v>
      </c>
      <c r="G9" s="16">
        <f t="shared" ref="G9" si="21">+F9*12%</f>
        <v>18632.544000000002</v>
      </c>
      <c r="H9" s="16">
        <f t="shared" si="17"/>
        <v>155271.20000000001</v>
      </c>
      <c r="I9" s="16">
        <f t="shared" si="18"/>
        <v>70720</v>
      </c>
      <c r="J9" s="16">
        <f t="shared" si="19"/>
        <v>118319.99999999999</v>
      </c>
      <c r="K9" s="16">
        <f t="shared" ref="K9" si="22">+B9*4%</f>
        <v>68000</v>
      </c>
      <c r="L9" s="16">
        <f t="shared" ref="L9" si="23">+B9*12%</f>
        <v>204000</v>
      </c>
      <c r="M9" s="16">
        <f t="shared" ref="M9" si="24">+B9*4%</f>
        <v>68000</v>
      </c>
      <c r="N9" s="16">
        <f t="shared" si="2"/>
        <v>520000</v>
      </c>
      <c r="O9" s="16">
        <f t="shared" si="3"/>
        <v>481000</v>
      </c>
      <c r="P9" s="16">
        <f>+$W$13</f>
        <v>425600</v>
      </c>
      <c r="Q9" s="16">
        <f t="shared" si="1"/>
        <v>115000</v>
      </c>
      <c r="R9" s="17">
        <f t="shared" ref="R9" si="25">+SUM(E9:Q9)</f>
        <v>4563814.9440000001</v>
      </c>
      <c r="S9" s="16">
        <f t="shared" ref="S9" si="26">+R9/26</f>
        <v>175531.34400000001</v>
      </c>
      <c r="T9" s="16">
        <f t="shared" ref="T9" si="27">+S9/8</f>
        <v>21941.418000000001</v>
      </c>
      <c r="U9" s="3"/>
      <c r="V9" s="27" t="s">
        <v>39</v>
      </c>
      <c r="W9" s="28">
        <v>4500</v>
      </c>
      <c r="X9" s="28">
        <v>4500</v>
      </c>
      <c r="Y9" s="27"/>
      <c r="Z9" s="27" t="s">
        <v>41</v>
      </c>
      <c r="AA9" s="29">
        <f>IF(AC9="SI",80000,0)</f>
        <v>80000</v>
      </c>
      <c r="AB9" s="29">
        <v>0</v>
      </c>
      <c r="AC9" s="30" t="s">
        <v>61</v>
      </c>
    </row>
    <row r="10" spans="1:29" ht="15.75" thickBot="1" x14ac:dyDescent="0.3">
      <c r="A10" s="3"/>
      <c r="B10" s="5"/>
      <c r="C10" s="5"/>
      <c r="D10" s="5"/>
      <c r="E10" s="3"/>
      <c r="F10" s="3"/>
      <c r="G10" s="3"/>
      <c r="H10" s="3"/>
      <c r="I10" s="3"/>
      <c r="U10" s="3"/>
      <c r="V10" s="27" t="s">
        <v>40</v>
      </c>
      <c r="W10" s="28">
        <v>1400</v>
      </c>
      <c r="X10" s="28">
        <v>1400</v>
      </c>
      <c r="Y10" s="27"/>
      <c r="Z10" s="27" t="s">
        <v>58</v>
      </c>
      <c r="AA10" s="29">
        <v>20000</v>
      </c>
      <c r="AB10" s="29">
        <v>20000</v>
      </c>
      <c r="AC10" s="24"/>
    </row>
    <row r="11" spans="1:29" x14ac:dyDescent="0.25">
      <c r="A11" s="7" t="s">
        <v>42</v>
      </c>
      <c r="B11" s="1">
        <v>0</v>
      </c>
      <c r="C11" s="5"/>
      <c r="D11" s="5"/>
      <c r="E11" s="3"/>
      <c r="F11" s="3"/>
      <c r="G11" s="3"/>
      <c r="H11" s="3"/>
      <c r="I11" s="3"/>
      <c r="M11" s="68" t="s">
        <v>57</v>
      </c>
      <c r="N11" s="18"/>
      <c r="O11" s="19"/>
      <c r="U11" s="3"/>
      <c r="V11" s="27" t="s">
        <v>59</v>
      </c>
      <c r="W11" s="28">
        <v>12000</v>
      </c>
      <c r="X11" s="27"/>
      <c r="Y11" s="27"/>
      <c r="Z11" s="27"/>
      <c r="AA11" s="29"/>
      <c r="AB11" s="29"/>
      <c r="AC11" s="24"/>
    </row>
    <row r="12" spans="1:29" ht="15.75" thickBot="1" x14ac:dyDescent="0.3">
      <c r="A12" s="3"/>
      <c r="B12" s="5"/>
      <c r="C12" s="5"/>
      <c r="D12" s="5"/>
      <c r="E12" s="3"/>
      <c r="F12" s="3"/>
      <c r="G12" s="3"/>
      <c r="H12" s="3"/>
      <c r="I12" s="3"/>
      <c r="M12" s="69"/>
      <c r="N12" s="20">
        <v>20000</v>
      </c>
      <c r="O12" s="21">
        <v>18500</v>
      </c>
      <c r="U12" s="3"/>
      <c r="V12" s="27"/>
      <c r="W12" s="28"/>
      <c r="X12" s="27"/>
      <c r="Y12" s="27"/>
      <c r="Z12" s="27"/>
      <c r="AA12" s="29"/>
      <c r="AB12" s="29"/>
      <c r="AC12" s="24"/>
    </row>
    <row r="13" spans="1:29" ht="15.75" thickBot="1" x14ac:dyDescent="0.3">
      <c r="A13" s="3"/>
      <c r="B13" s="5"/>
      <c r="C13" s="5"/>
      <c r="D13" s="5"/>
      <c r="E13" s="3"/>
      <c r="F13" s="3"/>
      <c r="G13" s="3"/>
      <c r="H13" s="3"/>
      <c r="I13" s="3"/>
      <c r="M13" s="70"/>
      <c r="N13" s="22" t="s">
        <v>62</v>
      </c>
      <c r="O13" s="23" t="s">
        <v>20</v>
      </c>
      <c r="U13" s="3"/>
      <c r="V13" s="31" t="s">
        <v>10</v>
      </c>
      <c r="W13" s="32">
        <f>SUM(W3:W12)</f>
        <v>425600</v>
      </c>
      <c r="X13" s="33">
        <f>SUM(X3:X12)</f>
        <v>263900</v>
      </c>
      <c r="Y13" s="27"/>
      <c r="Z13" s="31" t="s">
        <v>10</v>
      </c>
      <c r="AA13" s="34">
        <f>SUM(AA3:AA12)</f>
        <v>260000</v>
      </c>
      <c r="AB13" s="34">
        <f>SUM(AB3:AB12)</f>
        <v>115000</v>
      </c>
      <c r="AC13" s="24"/>
    </row>
    <row r="14" spans="1:29" x14ac:dyDescent="0.2">
      <c r="A14" s="65" t="s">
        <v>43</v>
      </c>
      <c r="B14" s="65"/>
      <c r="C14" s="65"/>
      <c r="D14" s="65"/>
      <c r="E14" s="65"/>
      <c r="F14" s="65"/>
      <c r="G14" s="65"/>
      <c r="H14" s="65"/>
      <c r="I14" s="66" t="s">
        <v>44</v>
      </c>
      <c r="M14" s="24"/>
      <c r="N14" s="24"/>
      <c r="O14" s="24"/>
    </row>
    <row r="15" spans="1:29" ht="48" x14ac:dyDescent="0.25">
      <c r="A15" s="35" t="s">
        <v>7</v>
      </c>
      <c r="B15" s="2" t="s">
        <v>45</v>
      </c>
      <c r="C15" s="2" t="s">
        <v>46</v>
      </c>
      <c r="D15" s="2" t="s">
        <v>47</v>
      </c>
      <c r="E15" s="2" t="s">
        <v>48</v>
      </c>
      <c r="F15" s="2" t="s">
        <v>49</v>
      </c>
      <c r="G15" s="2" t="s">
        <v>50</v>
      </c>
      <c r="H15" s="2" t="s">
        <v>51</v>
      </c>
      <c r="I15" s="67"/>
    </row>
    <row r="16" spans="1:29" x14ac:dyDescent="0.2">
      <c r="A16" s="36" t="s">
        <v>55</v>
      </c>
      <c r="B16" s="37">
        <f>+(($T$3*1)/(1-$B$11))</f>
        <v>21862.75838461539</v>
      </c>
      <c r="C16" s="37">
        <f>+(($T$3*0.35)/(1-$B$11))</f>
        <v>7651.9654346153857</v>
      </c>
      <c r="D16" s="37">
        <f>+(($T$3*1.25)/(1-$B$11))</f>
        <v>27328.447980769237</v>
      </c>
      <c r="E16" s="37">
        <f>+(($T$3*1.75)/(1-$B$11))</f>
        <v>38259.827173076934</v>
      </c>
      <c r="F16" s="37">
        <f>+(($T$3*1.75)/(1-$B$11))</f>
        <v>38259.827173076934</v>
      </c>
      <c r="G16" s="37">
        <f>+(($T$3*2)/(1-$B$11))</f>
        <v>43725.51676923078</v>
      </c>
      <c r="H16" s="37">
        <f>+(($T$3*2.5)/(1-$B$11))</f>
        <v>54656.895961538474</v>
      </c>
      <c r="I16" s="37">
        <f>+B16*8</f>
        <v>174902.06707692312</v>
      </c>
    </row>
    <row r="17" spans="1:9" x14ac:dyDescent="0.2">
      <c r="A17" s="36" t="s">
        <v>31</v>
      </c>
      <c r="B17" s="37">
        <f>+(($T$4*1)/(1-$B$11))</f>
        <v>25232.950692307695</v>
      </c>
      <c r="C17" s="37">
        <f>+(($T$4*0.35)/(1-$B$11))</f>
        <v>8831.5327423076924</v>
      </c>
      <c r="D17" s="37">
        <f>+(($T$4*1.25)/(1-$B$11))</f>
        <v>31541.18836538462</v>
      </c>
      <c r="E17" s="37">
        <f>+(($T$4*1.75)/(1-$B$11))</f>
        <v>44157.663711538466</v>
      </c>
      <c r="F17" s="37">
        <f>+(($T$4*1.75)/(1-$B$11))</f>
        <v>44157.663711538466</v>
      </c>
      <c r="G17" s="37">
        <f>+(($T$4*2)/(1-$B$11))</f>
        <v>50465.90138461539</v>
      </c>
      <c r="H17" s="37">
        <f>+(($T$4*2.5)/(1-$B$11))</f>
        <v>63082.37673076924</v>
      </c>
      <c r="I17" s="37">
        <f t="shared" ref="I17:I22" si="28">+B17*8</f>
        <v>201863.60553846156</v>
      </c>
    </row>
    <row r="18" spans="1:9" x14ac:dyDescent="0.2">
      <c r="A18" s="15" t="s">
        <v>80</v>
      </c>
      <c r="B18" s="37">
        <f>+(($T$5*1)/(1-$B$11))</f>
        <v>27452.662230769234</v>
      </c>
      <c r="C18" s="37">
        <f>+(($T$5*0.35)/(1-$B$11))</f>
        <v>9608.4317807692314</v>
      </c>
      <c r="D18" s="37">
        <f>+(($T$5*1.25)/(1-$B$11))</f>
        <v>34315.827788461545</v>
      </c>
      <c r="E18" s="37">
        <f>+(($T$5*1.75)/(1-$B$11))</f>
        <v>48042.158903846161</v>
      </c>
      <c r="F18" s="37">
        <f>+(($T$5*1.75)/(1-$B$11))</f>
        <v>48042.158903846161</v>
      </c>
      <c r="G18" s="37">
        <f>+(($T$5*2)/(1-$B$11))</f>
        <v>54905.324461538468</v>
      </c>
      <c r="H18" s="37">
        <f>+(($T$5*2.5)/(1-$B$11))</f>
        <v>68631.655576923091</v>
      </c>
      <c r="I18" s="37">
        <f t="shared" si="28"/>
        <v>219621.29784615387</v>
      </c>
    </row>
    <row r="19" spans="1:9" x14ac:dyDescent="0.2">
      <c r="A19" s="36" t="s">
        <v>53</v>
      </c>
      <c r="B19" s="37">
        <f>+(($T$6*1)/(1-$B$11))</f>
        <v>26491.123769230773</v>
      </c>
      <c r="C19" s="37">
        <f>+(($T$6*0.35)/(1-$B$11))</f>
        <v>9271.8933192307704</v>
      </c>
      <c r="D19" s="37">
        <f>+(($T$6*1.25)/(1-$B$11))</f>
        <v>33113.904711538467</v>
      </c>
      <c r="E19" s="37">
        <f>+(($T$6*1.75)/(1-$B$11))</f>
        <v>46359.466596153856</v>
      </c>
      <c r="F19" s="37">
        <f>+(($T$6*1.75)/(1-$B$11))</f>
        <v>46359.466596153856</v>
      </c>
      <c r="G19" s="37">
        <f>+(($T$6*2)/(1-$B$11))</f>
        <v>52982.247538461546</v>
      </c>
      <c r="H19" s="37">
        <f>+(($T$6*2.5)/(1-$B$11))</f>
        <v>66227.809423076935</v>
      </c>
      <c r="I19" s="37">
        <f t="shared" si="28"/>
        <v>211928.99015384619</v>
      </c>
    </row>
    <row r="20" spans="1:9" x14ac:dyDescent="0.2">
      <c r="A20" s="36" t="s">
        <v>54</v>
      </c>
      <c r="B20" s="37">
        <f>+(($T$7*1)/(1-$B$11))</f>
        <v>21941.418000000001</v>
      </c>
      <c r="C20" s="37">
        <f>+(($T$7*0.35)/(1-$B$11))</f>
        <v>7679.4962999999998</v>
      </c>
      <c r="D20" s="37">
        <f>+(($T$7*1.25)/(1-$B$11))</f>
        <v>27426.772500000003</v>
      </c>
      <c r="E20" s="37">
        <f>+(($T$7*1.75)/(1-$B$11))</f>
        <v>38397.481500000002</v>
      </c>
      <c r="F20" s="37">
        <f>+(($T$7*1.75)/(1-$B$11))</f>
        <v>38397.481500000002</v>
      </c>
      <c r="G20" s="37">
        <f>+(($T$7*2)/(1-$B$11))</f>
        <v>43882.836000000003</v>
      </c>
      <c r="H20" s="37">
        <f>+(($T$7*2.5)/(1-$B$11))</f>
        <v>54853.545000000006</v>
      </c>
      <c r="I20" s="37">
        <f t="shared" si="28"/>
        <v>175531.34400000001</v>
      </c>
    </row>
    <row r="21" spans="1:9" x14ac:dyDescent="0.2">
      <c r="A21" s="36" t="s">
        <v>25</v>
      </c>
      <c r="B21" s="37">
        <f>+(($T$8*1)/(1-$B$11))</f>
        <v>18599.502615384616</v>
      </c>
      <c r="C21" s="37">
        <f>+(($T$8*0.35)/(1-$B$11))</f>
        <v>6509.8259153846147</v>
      </c>
      <c r="D21" s="37">
        <f>+(($T$8*1.25)/(1-$B$11))</f>
        <v>23249.378269230769</v>
      </c>
      <c r="E21" s="37">
        <f>+(($T$8*1.75)/(1-$B$11))</f>
        <v>32549.129576923078</v>
      </c>
      <c r="F21" s="37">
        <f>+(($T$8*1.75)/(1-$B$11))</f>
        <v>32549.129576923078</v>
      </c>
      <c r="G21" s="37">
        <f>+(($T$8*2)/(1-$B$11))</f>
        <v>37199.005230769231</v>
      </c>
      <c r="H21" s="37">
        <f>+(($T$8*2.5)/(1-$B$11))</f>
        <v>46498.756538461537</v>
      </c>
      <c r="I21" s="37">
        <f t="shared" si="28"/>
        <v>148796.02092307693</v>
      </c>
    </row>
    <row r="22" spans="1:9" x14ac:dyDescent="0.2">
      <c r="A22" s="36" t="s">
        <v>34</v>
      </c>
      <c r="B22" s="37">
        <f>+(($T$9*1)/(1-$B$11))</f>
        <v>21941.418000000001</v>
      </c>
      <c r="C22" s="37">
        <f>+(($T$9*0.35)/(1-$B$11))</f>
        <v>7679.4962999999998</v>
      </c>
      <c r="D22" s="37">
        <f>+(($T$9*1.25)/(1-$B$11))</f>
        <v>27426.772500000003</v>
      </c>
      <c r="E22" s="37">
        <f>+(($T$9*1.75)/(1-$B$11))</f>
        <v>38397.481500000002</v>
      </c>
      <c r="F22" s="37">
        <f>+(($T$9*1.75)/(1-$B$11))</f>
        <v>38397.481500000002</v>
      </c>
      <c r="G22" s="37">
        <f>+(($T$9*2)/(1-$B$11))</f>
        <v>43882.836000000003</v>
      </c>
      <c r="H22" s="37">
        <f>+(($T$9*2.5)/(1-$B$11))</f>
        <v>54853.545000000006</v>
      </c>
      <c r="I22" s="37">
        <f t="shared" si="28"/>
        <v>175531.34400000001</v>
      </c>
    </row>
  </sheetData>
  <mergeCells count="10">
    <mergeCell ref="T1:T2"/>
    <mergeCell ref="A14:H14"/>
    <mergeCell ref="I14:I15"/>
    <mergeCell ref="M11:M13"/>
    <mergeCell ref="A1:E1"/>
    <mergeCell ref="F1:I1"/>
    <mergeCell ref="J1:M1"/>
    <mergeCell ref="N1:Q1"/>
    <mergeCell ref="R1:R2"/>
    <mergeCell ref="S1:S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84D08-3BC1-42F6-9D0A-378DAEC9C579}">
  <dimension ref="A1:D50"/>
  <sheetViews>
    <sheetView workbookViewId="0">
      <pane ySplit="1" topLeftCell="A2" activePane="bottomLeft" state="frozen"/>
      <selection pane="bottomLeft" activeCell="K9" sqref="K9"/>
    </sheetView>
  </sheetViews>
  <sheetFormatPr baseColWidth="10" defaultRowHeight="15" x14ac:dyDescent="0.25"/>
  <cols>
    <col min="1" max="1" width="11.42578125" customWidth="1"/>
    <col min="2" max="2" width="17.7109375" bestFit="1" customWidth="1"/>
    <col min="3" max="3" width="29.85546875" bestFit="1" customWidth="1"/>
  </cols>
  <sheetData>
    <row r="1" spans="1:4" x14ac:dyDescent="0.25">
      <c r="A1" s="35"/>
      <c r="B1" s="35" t="s">
        <v>7</v>
      </c>
      <c r="C1" s="35" t="s">
        <v>69</v>
      </c>
      <c r="D1" s="35" t="s">
        <v>68</v>
      </c>
    </row>
    <row r="2" spans="1:4" x14ac:dyDescent="0.25">
      <c r="A2" s="36" t="str">
        <f>CONCATENATE(B2,C2)</f>
        <v>RESIDENTE DE OBRAHORA ORDINARIA</v>
      </c>
      <c r="B2" s="36" t="s">
        <v>55</v>
      </c>
      <c r="C2" s="42" t="s">
        <v>45</v>
      </c>
      <c r="D2" s="37">
        <f>VLOOKUP(B2,Tabla!$A$15:$H$22,2,FALSE)</f>
        <v>21862.75838461539</v>
      </c>
    </row>
    <row r="3" spans="1:4" x14ac:dyDescent="0.25">
      <c r="A3" s="36" t="str">
        <f t="shared" ref="A3:A50" si="0">CONCATENATE(B3,C3)</f>
        <v>RESIDENTE DE OBRARECARGO NOCTURNO</v>
      </c>
      <c r="B3" s="36" t="s">
        <v>55</v>
      </c>
      <c r="C3" s="42" t="s">
        <v>46</v>
      </c>
      <c r="D3" s="37">
        <f>VLOOKUP(B3,Tabla!$A$15:$H$22,3,FALSE)</f>
        <v>7651.9654346153857</v>
      </c>
    </row>
    <row r="4" spans="1:4" x14ac:dyDescent="0.25">
      <c r="A4" s="36" t="str">
        <f t="shared" si="0"/>
        <v>RESIDENTE DE OBRAHORA EXTRA DIURNA</v>
      </c>
      <c r="B4" s="36" t="s">
        <v>55</v>
      </c>
      <c r="C4" s="42" t="s">
        <v>47</v>
      </c>
      <c r="D4" s="37">
        <f>VLOOKUP(B4,Tabla!$A$15:$H$22,4,FALSE)</f>
        <v>27328.447980769237</v>
      </c>
    </row>
    <row r="5" spans="1:4" x14ac:dyDescent="0.25">
      <c r="A5" s="36" t="str">
        <f t="shared" si="0"/>
        <v>RESIDENTE DE OBRAHORA EXTRA NOCTURNA</v>
      </c>
      <c r="B5" s="36" t="s">
        <v>55</v>
      </c>
      <c r="C5" s="42" t="s">
        <v>48</v>
      </c>
      <c r="D5" s="37">
        <f>VLOOKUP(B5,Tabla!$A$15:$H$22,5,FALSE)</f>
        <v>38259.827173076934</v>
      </c>
    </row>
    <row r="6" spans="1:4" x14ac:dyDescent="0.25">
      <c r="A6" s="36" t="str">
        <f t="shared" si="0"/>
        <v>RESIDENTE DE OBRAHORA DOMINICAL</v>
      </c>
      <c r="B6" s="36" t="s">
        <v>55</v>
      </c>
      <c r="C6" s="42" t="s">
        <v>49</v>
      </c>
      <c r="D6" s="37">
        <f>VLOOKUP(B6,Tabla!$A$15:$H$22,6,FALSE)</f>
        <v>38259.827173076934</v>
      </c>
    </row>
    <row r="7" spans="1:4" x14ac:dyDescent="0.25">
      <c r="A7" s="36" t="str">
        <f t="shared" si="0"/>
        <v>RESIDENTE DE OBRAHORA EXTRA DOMINICAL (DIURNA)</v>
      </c>
      <c r="B7" s="36" t="s">
        <v>55</v>
      </c>
      <c r="C7" s="42" t="s">
        <v>50</v>
      </c>
      <c r="D7" s="37">
        <f>VLOOKUP(B7,Tabla!$A$15:$H$22,7,FALSE)</f>
        <v>43725.51676923078</v>
      </c>
    </row>
    <row r="8" spans="1:4" x14ac:dyDescent="0.25">
      <c r="A8" s="36" t="str">
        <f t="shared" si="0"/>
        <v>RESIDENTE DE OBRAHORA EXTRA DOMINICAL (NOCTURNA)</v>
      </c>
      <c r="B8" s="36" t="s">
        <v>55</v>
      </c>
      <c r="C8" s="42" t="s">
        <v>51</v>
      </c>
      <c r="D8" s="37">
        <f>VLOOKUP(B8,Tabla!$A$15:$H$22,8,FALSE)</f>
        <v>54656.895961538474</v>
      </c>
    </row>
    <row r="9" spans="1:4" x14ac:dyDescent="0.25">
      <c r="A9" s="36" t="str">
        <f t="shared" si="0"/>
        <v>ING. SUPERVHORA ORDINARIA</v>
      </c>
      <c r="B9" s="36" t="s">
        <v>31</v>
      </c>
      <c r="C9" s="42" t="s">
        <v>45</v>
      </c>
      <c r="D9" s="37">
        <f>VLOOKUP(B9,Tabla!$A$15:$H$22,2,FALSE)</f>
        <v>25232.950692307695</v>
      </c>
    </row>
    <row r="10" spans="1:4" x14ac:dyDescent="0.25">
      <c r="A10" s="36" t="str">
        <f t="shared" si="0"/>
        <v>ING. SUPERVRECARGO NOCTURNO</v>
      </c>
      <c r="B10" s="36" t="s">
        <v>31</v>
      </c>
      <c r="C10" s="42" t="s">
        <v>46</v>
      </c>
      <c r="D10" s="37">
        <f>VLOOKUP(B10,Tabla!$A$15:$H$22,3,FALSE)</f>
        <v>8831.5327423076924</v>
      </c>
    </row>
    <row r="11" spans="1:4" x14ac:dyDescent="0.25">
      <c r="A11" s="36" t="str">
        <f t="shared" si="0"/>
        <v>ING. SUPERVHORA EXTRA DIURNA</v>
      </c>
      <c r="B11" s="36" t="s">
        <v>31</v>
      </c>
      <c r="C11" s="42" t="s">
        <v>47</v>
      </c>
      <c r="D11" s="37">
        <f>VLOOKUP(B11,Tabla!$A$15:$H$22,4,FALSE)</f>
        <v>31541.18836538462</v>
      </c>
    </row>
    <row r="12" spans="1:4" x14ac:dyDescent="0.25">
      <c r="A12" s="36" t="str">
        <f t="shared" si="0"/>
        <v>ING. SUPERVHORA EXTRA NOCTURNA</v>
      </c>
      <c r="B12" s="36" t="s">
        <v>31</v>
      </c>
      <c r="C12" s="42" t="s">
        <v>48</v>
      </c>
      <c r="D12" s="37">
        <f>VLOOKUP(B12,Tabla!$A$15:$H$22,5,FALSE)</f>
        <v>44157.663711538466</v>
      </c>
    </row>
    <row r="13" spans="1:4" x14ac:dyDescent="0.25">
      <c r="A13" s="36" t="str">
        <f t="shared" si="0"/>
        <v>ING. SUPERVHORA DOMINICAL</v>
      </c>
      <c r="B13" s="36" t="s">
        <v>31</v>
      </c>
      <c r="C13" s="42" t="s">
        <v>49</v>
      </c>
      <c r="D13" s="37">
        <f>VLOOKUP(B13,Tabla!$A$15:$H$22,6,FALSE)</f>
        <v>44157.663711538466</v>
      </c>
    </row>
    <row r="14" spans="1:4" x14ac:dyDescent="0.25">
      <c r="A14" s="36" t="str">
        <f t="shared" si="0"/>
        <v>ING. SUPERVHORA EXTRA DOMINICAL (DIURNA)</v>
      </c>
      <c r="B14" s="36" t="s">
        <v>31</v>
      </c>
      <c r="C14" s="42" t="s">
        <v>50</v>
      </c>
      <c r="D14" s="37">
        <f>VLOOKUP(B14,Tabla!$A$15:$H$22,7,FALSE)</f>
        <v>50465.90138461539</v>
      </c>
    </row>
    <row r="15" spans="1:4" x14ac:dyDescent="0.25">
      <c r="A15" s="36" t="str">
        <f t="shared" si="0"/>
        <v>ING. SUPERVHORA EXTRA DOMINICAL (NOCTURNA)</v>
      </c>
      <c r="B15" s="36" t="s">
        <v>31</v>
      </c>
      <c r="C15" s="42" t="s">
        <v>51</v>
      </c>
      <c r="D15" s="37">
        <f>VLOOKUP(B15,Tabla!$A$15:$H$22,8,FALSE)</f>
        <v>63082.37673076924</v>
      </c>
    </row>
    <row r="16" spans="1:4" x14ac:dyDescent="0.25">
      <c r="A16" s="36" t="str">
        <f t="shared" si="0"/>
        <v>SOLDADORHORA ORDINARIA</v>
      </c>
      <c r="B16" s="36" t="s">
        <v>80</v>
      </c>
      <c r="C16" s="42" t="s">
        <v>45</v>
      </c>
      <c r="D16" s="37">
        <f>VLOOKUP(B16,Tabla!$A$15:$H$22,2,FALSE)</f>
        <v>27452.662230769234</v>
      </c>
    </row>
    <row r="17" spans="1:4" x14ac:dyDescent="0.25">
      <c r="A17" s="36" t="str">
        <f t="shared" si="0"/>
        <v>SOLDADORRECARGO NOCTURNO</v>
      </c>
      <c r="B17" s="36" t="s">
        <v>80</v>
      </c>
      <c r="C17" s="42" t="s">
        <v>46</v>
      </c>
      <c r="D17" s="37">
        <f>VLOOKUP(B17,Tabla!$A$15:$H$22,3,FALSE)</f>
        <v>9608.4317807692314</v>
      </c>
    </row>
    <row r="18" spans="1:4" x14ac:dyDescent="0.25">
      <c r="A18" s="36" t="str">
        <f t="shared" si="0"/>
        <v>SOLDADORHORA EXTRA DIURNA</v>
      </c>
      <c r="B18" s="36" t="s">
        <v>80</v>
      </c>
      <c r="C18" s="42" t="s">
        <v>47</v>
      </c>
      <c r="D18" s="37">
        <f>VLOOKUP(B18,Tabla!$A$15:$H$22,4,FALSE)</f>
        <v>34315.827788461545</v>
      </c>
    </row>
    <row r="19" spans="1:4" x14ac:dyDescent="0.25">
      <c r="A19" s="36" t="str">
        <f t="shared" si="0"/>
        <v>SOLDADORHORA EXTRA NOCTURNA</v>
      </c>
      <c r="B19" s="36" t="s">
        <v>80</v>
      </c>
      <c r="C19" s="42" t="s">
        <v>48</v>
      </c>
      <c r="D19" s="37">
        <f>VLOOKUP(B19,Tabla!$A$15:$H$22,5,FALSE)</f>
        <v>48042.158903846161</v>
      </c>
    </row>
    <row r="20" spans="1:4" x14ac:dyDescent="0.25">
      <c r="A20" s="36" t="str">
        <f t="shared" si="0"/>
        <v>SOLDADORHORA DOMINICAL</v>
      </c>
      <c r="B20" s="36" t="s">
        <v>80</v>
      </c>
      <c r="C20" s="42" t="s">
        <v>49</v>
      </c>
      <c r="D20" s="37">
        <f>VLOOKUP(B20,Tabla!$A$15:$H$22,6,FALSE)</f>
        <v>48042.158903846161</v>
      </c>
    </row>
    <row r="21" spans="1:4" x14ac:dyDescent="0.25">
      <c r="A21" s="36" t="str">
        <f t="shared" si="0"/>
        <v>SOLDADORHORA EXTRA DOMINICAL (DIURNA)</v>
      </c>
      <c r="B21" s="36" t="s">
        <v>80</v>
      </c>
      <c r="C21" s="42" t="s">
        <v>50</v>
      </c>
      <c r="D21" s="37">
        <f>VLOOKUP(B21,Tabla!$A$15:$H$22,7,FALSE)</f>
        <v>54905.324461538468</v>
      </c>
    </row>
    <row r="22" spans="1:4" x14ac:dyDescent="0.25">
      <c r="A22" s="36" t="str">
        <f t="shared" si="0"/>
        <v>SOLDADORHORA EXTRA DOMINICAL (NOCTURNA)</v>
      </c>
      <c r="B22" s="36" t="s">
        <v>80</v>
      </c>
      <c r="C22" s="42" t="s">
        <v>51</v>
      </c>
      <c r="D22" s="37">
        <f>VLOOKUP(B22,Tabla!$A$15:$H$22,8,FALSE)</f>
        <v>68631.655576923091</v>
      </c>
    </row>
    <row r="23" spans="1:4" x14ac:dyDescent="0.25">
      <c r="A23" s="36" t="str">
        <f t="shared" si="0"/>
        <v>TUBEROHORA ORDINARIA</v>
      </c>
      <c r="B23" s="36" t="s">
        <v>53</v>
      </c>
      <c r="C23" s="42" t="s">
        <v>45</v>
      </c>
      <c r="D23" s="37">
        <f>VLOOKUP(B23,Tabla!$A$15:$H$22,2,FALSE)</f>
        <v>26491.123769230773</v>
      </c>
    </row>
    <row r="24" spans="1:4" x14ac:dyDescent="0.25">
      <c r="A24" s="36" t="str">
        <f t="shared" si="0"/>
        <v>TUBERORECARGO NOCTURNO</v>
      </c>
      <c r="B24" s="36" t="s">
        <v>53</v>
      </c>
      <c r="C24" s="42" t="s">
        <v>46</v>
      </c>
      <c r="D24" s="37">
        <f>VLOOKUP(B24,Tabla!$A$15:$H$22,3,FALSE)</f>
        <v>9271.8933192307704</v>
      </c>
    </row>
    <row r="25" spans="1:4" x14ac:dyDescent="0.25">
      <c r="A25" s="36" t="str">
        <f t="shared" si="0"/>
        <v>TUBEROHORA EXTRA DIURNA</v>
      </c>
      <c r="B25" s="36" t="s">
        <v>53</v>
      </c>
      <c r="C25" s="42" t="s">
        <v>47</v>
      </c>
      <c r="D25" s="37">
        <f>VLOOKUP(B25,Tabla!$A$15:$H$22,4,FALSE)</f>
        <v>33113.904711538467</v>
      </c>
    </row>
    <row r="26" spans="1:4" x14ac:dyDescent="0.25">
      <c r="A26" s="36" t="str">
        <f t="shared" si="0"/>
        <v>TUBEROHORA EXTRA NOCTURNA</v>
      </c>
      <c r="B26" s="36" t="s">
        <v>53</v>
      </c>
      <c r="C26" s="42" t="s">
        <v>48</v>
      </c>
      <c r="D26" s="37">
        <f>VLOOKUP(B26,Tabla!$A$15:$H$22,5,FALSE)</f>
        <v>46359.466596153856</v>
      </c>
    </row>
    <row r="27" spans="1:4" x14ac:dyDescent="0.25">
      <c r="A27" s="36" t="str">
        <f t="shared" si="0"/>
        <v>TUBEROHORA DOMINICAL</v>
      </c>
      <c r="B27" s="36" t="s">
        <v>53</v>
      </c>
      <c r="C27" s="42" t="s">
        <v>49</v>
      </c>
      <c r="D27" s="37">
        <f>VLOOKUP(B27,Tabla!$A$15:$H$22,6,FALSE)</f>
        <v>46359.466596153856</v>
      </c>
    </row>
    <row r="28" spans="1:4" x14ac:dyDescent="0.25">
      <c r="A28" s="36" t="str">
        <f t="shared" si="0"/>
        <v>TUBEROHORA EXTRA DOMINICAL (DIURNA)</v>
      </c>
      <c r="B28" s="36" t="s">
        <v>53</v>
      </c>
      <c r="C28" s="42" t="s">
        <v>50</v>
      </c>
      <c r="D28" s="37">
        <f>VLOOKUP(B28,Tabla!$A$15:$H$22,7,FALSE)</f>
        <v>52982.247538461546</v>
      </c>
    </row>
    <row r="29" spans="1:4" x14ac:dyDescent="0.25">
      <c r="A29" s="36" t="str">
        <f t="shared" si="0"/>
        <v>TUBEROHORA EXTRA DOMINICAL (NOCTURNA)</v>
      </c>
      <c r="B29" s="36" t="s">
        <v>53</v>
      </c>
      <c r="C29" s="42" t="s">
        <v>51</v>
      </c>
      <c r="D29" s="37">
        <f>VLOOKUP(B29,Tabla!$A$15:$H$22,8,FALSE)</f>
        <v>66227.809423076935</v>
      </c>
    </row>
    <row r="30" spans="1:4" x14ac:dyDescent="0.25">
      <c r="A30" s="36" t="str">
        <f t="shared" si="0"/>
        <v>PAILERO MONTADORHORA ORDINARIA</v>
      </c>
      <c r="B30" s="36" t="s">
        <v>54</v>
      </c>
      <c r="C30" s="42" t="s">
        <v>45</v>
      </c>
      <c r="D30" s="37">
        <f>VLOOKUP(B30,Tabla!$A$15:$H$22,2,FALSE)</f>
        <v>21941.418000000001</v>
      </c>
    </row>
    <row r="31" spans="1:4" x14ac:dyDescent="0.25">
      <c r="A31" s="36" t="str">
        <f t="shared" si="0"/>
        <v>PAILERO MONTADORRECARGO NOCTURNO</v>
      </c>
      <c r="B31" s="36" t="s">
        <v>54</v>
      </c>
      <c r="C31" s="42" t="s">
        <v>46</v>
      </c>
      <c r="D31" s="37">
        <f>VLOOKUP(B31,Tabla!$A$15:$H$22,3,FALSE)</f>
        <v>7679.4962999999998</v>
      </c>
    </row>
    <row r="32" spans="1:4" x14ac:dyDescent="0.25">
      <c r="A32" s="36" t="str">
        <f t="shared" si="0"/>
        <v>PAILERO MONTADORHORA EXTRA DIURNA</v>
      </c>
      <c r="B32" s="36" t="s">
        <v>54</v>
      </c>
      <c r="C32" s="42" t="s">
        <v>47</v>
      </c>
      <c r="D32" s="37">
        <f>VLOOKUP(B32,Tabla!$A$15:$H$22,4,FALSE)</f>
        <v>27426.772500000003</v>
      </c>
    </row>
    <row r="33" spans="1:4" x14ac:dyDescent="0.25">
      <c r="A33" s="36" t="str">
        <f t="shared" si="0"/>
        <v>PAILERO MONTADORHORA EXTRA NOCTURNA</v>
      </c>
      <c r="B33" s="36" t="s">
        <v>54</v>
      </c>
      <c r="C33" s="42" t="s">
        <v>48</v>
      </c>
      <c r="D33" s="37">
        <f>VLOOKUP(B33,Tabla!$A$15:$H$22,5,FALSE)</f>
        <v>38397.481500000002</v>
      </c>
    </row>
    <row r="34" spans="1:4" x14ac:dyDescent="0.25">
      <c r="A34" s="36" t="str">
        <f t="shared" si="0"/>
        <v>PAILERO MONTADORHORA DOMINICAL</v>
      </c>
      <c r="B34" s="36" t="s">
        <v>54</v>
      </c>
      <c r="C34" s="42" t="s">
        <v>49</v>
      </c>
      <c r="D34" s="37">
        <f>VLOOKUP(B34,Tabla!$A$15:$H$22,6,FALSE)</f>
        <v>38397.481500000002</v>
      </c>
    </row>
    <row r="35" spans="1:4" x14ac:dyDescent="0.25">
      <c r="A35" s="36" t="str">
        <f t="shared" si="0"/>
        <v>PAILERO MONTADORHORA EXTRA DOMINICAL (DIURNA)</v>
      </c>
      <c r="B35" s="36" t="s">
        <v>54</v>
      </c>
      <c r="C35" s="42" t="s">
        <v>50</v>
      </c>
      <c r="D35" s="37">
        <f>VLOOKUP(B35,Tabla!$A$15:$H$22,7,FALSE)</f>
        <v>43882.836000000003</v>
      </c>
    </row>
    <row r="36" spans="1:4" x14ac:dyDescent="0.25">
      <c r="A36" s="36" t="str">
        <f t="shared" si="0"/>
        <v>PAILERO MONTADORHORA EXTRA DOMINICAL (NOCTURNA)</v>
      </c>
      <c r="B36" s="36" t="s">
        <v>54</v>
      </c>
      <c r="C36" s="42" t="s">
        <v>51</v>
      </c>
      <c r="D36" s="37">
        <f>VLOOKUP(B36,Tabla!$A$15:$H$22,8,FALSE)</f>
        <v>54853.545000000006</v>
      </c>
    </row>
    <row r="37" spans="1:4" x14ac:dyDescent="0.25">
      <c r="A37" s="36" t="str">
        <f t="shared" si="0"/>
        <v>AYUDANTEHORA ORDINARIA</v>
      </c>
      <c r="B37" s="36" t="s">
        <v>25</v>
      </c>
      <c r="C37" s="42" t="s">
        <v>45</v>
      </c>
      <c r="D37" s="37">
        <f>VLOOKUP(B37,Tabla!$A$15:$H$22,2,FALSE)</f>
        <v>18599.502615384616</v>
      </c>
    </row>
    <row r="38" spans="1:4" x14ac:dyDescent="0.25">
      <c r="A38" s="36" t="str">
        <f t="shared" si="0"/>
        <v>AYUDANTERECARGO NOCTURNO</v>
      </c>
      <c r="B38" s="36" t="s">
        <v>25</v>
      </c>
      <c r="C38" s="42" t="s">
        <v>46</v>
      </c>
      <c r="D38" s="37">
        <f>VLOOKUP(B38,Tabla!$A$15:$H$22,3,FALSE)</f>
        <v>6509.8259153846147</v>
      </c>
    </row>
    <row r="39" spans="1:4" x14ac:dyDescent="0.25">
      <c r="A39" s="36" t="str">
        <f t="shared" si="0"/>
        <v>AYUDANTEHORA EXTRA DIURNA</v>
      </c>
      <c r="B39" s="36" t="s">
        <v>25</v>
      </c>
      <c r="C39" s="42" t="s">
        <v>47</v>
      </c>
      <c r="D39" s="37">
        <f>VLOOKUP(B39,Tabla!$A$15:$H$22,4,FALSE)</f>
        <v>23249.378269230769</v>
      </c>
    </row>
    <row r="40" spans="1:4" x14ac:dyDescent="0.25">
      <c r="A40" s="36" t="str">
        <f t="shared" si="0"/>
        <v>AYUDANTEHORA EXTRA NOCTURNA</v>
      </c>
      <c r="B40" s="36" t="s">
        <v>25</v>
      </c>
      <c r="C40" s="42" t="s">
        <v>48</v>
      </c>
      <c r="D40" s="37">
        <f>VLOOKUP(B40,Tabla!$A$15:$H$22,5,FALSE)</f>
        <v>32549.129576923078</v>
      </c>
    </row>
    <row r="41" spans="1:4" x14ac:dyDescent="0.25">
      <c r="A41" s="36" t="str">
        <f t="shared" si="0"/>
        <v>AYUDANTEHORA DOMINICAL</v>
      </c>
      <c r="B41" s="36" t="s">
        <v>25</v>
      </c>
      <c r="C41" s="42" t="s">
        <v>49</v>
      </c>
      <c r="D41" s="37">
        <f>VLOOKUP(B41,Tabla!$A$15:$H$22,6,FALSE)</f>
        <v>32549.129576923078</v>
      </c>
    </row>
    <row r="42" spans="1:4" x14ac:dyDescent="0.25">
      <c r="A42" s="36" t="str">
        <f t="shared" si="0"/>
        <v>AYUDANTEHORA EXTRA DOMINICAL (DIURNA)</v>
      </c>
      <c r="B42" s="36" t="s">
        <v>25</v>
      </c>
      <c r="C42" s="42" t="s">
        <v>50</v>
      </c>
      <c r="D42" s="37">
        <f>VLOOKUP(B42,Tabla!$A$15:$H$22,7,FALSE)</f>
        <v>37199.005230769231</v>
      </c>
    </row>
    <row r="43" spans="1:4" x14ac:dyDescent="0.25">
      <c r="A43" s="36" t="str">
        <f t="shared" si="0"/>
        <v>AYUDANTEHORA EXTRA DOMINICAL (NOCTURNA)</v>
      </c>
      <c r="B43" s="36" t="s">
        <v>25</v>
      </c>
      <c r="C43" s="42" t="s">
        <v>51</v>
      </c>
      <c r="D43" s="37">
        <f>VLOOKUP(B43,Tabla!$A$15:$H$22,8,FALSE)</f>
        <v>46498.756538461537</v>
      </c>
    </row>
    <row r="44" spans="1:4" x14ac:dyDescent="0.25">
      <c r="A44" s="36" t="str">
        <f t="shared" si="0"/>
        <v>SISOHORA ORDINARIA</v>
      </c>
      <c r="B44" s="36" t="s">
        <v>34</v>
      </c>
      <c r="C44" s="42" t="s">
        <v>45</v>
      </c>
      <c r="D44" s="37">
        <f>VLOOKUP(B44,Tabla!$A$15:$H$22,2,FALSE)</f>
        <v>21941.418000000001</v>
      </c>
    </row>
    <row r="45" spans="1:4" x14ac:dyDescent="0.25">
      <c r="A45" s="36" t="str">
        <f t="shared" si="0"/>
        <v>SISORECARGO NOCTURNO</v>
      </c>
      <c r="B45" s="36" t="s">
        <v>34</v>
      </c>
      <c r="C45" s="42" t="s">
        <v>46</v>
      </c>
      <c r="D45" s="37">
        <f>VLOOKUP(B45,Tabla!$A$15:$H$22,3,FALSE)</f>
        <v>7679.4962999999998</v>
      </c>
    </row>
    <row r="46" spans="1:4" x14ac:dyDescent="0.25">
      <c r="A46" s="36" t="str">
        <f t="shared" si="0"/>
        <v>SISOHORA EXTRA DIURNA</v>
      </c>
      <c r="B46" s="36" t="s">
        <v>34</v>
      </c>
      <c r="C46" s="42" t="s">
        <v>47</v>
      </c>
      <c r="D46" s="37">
        <f>VLOOKUP(B46,Tabla!$A$15:$H$22,4,FALSE)</f>
        <v>27426.772500000003</v>
      </c>
    </row>
    <row r="47" spans="1:4" x14ac:dyDescent="0.25">
      <c r="A47" s="36" t="str">
        <f t="shared" si="0"/>
        <v>SISOHORA EXTRA NOCTURNA</v>
      </c>
      <c r="B47" s="36" t="s">
        <v>34</v>
      </c>
      <c r="C47" s="42" t="s">
        <v>48</v>
      </c>
      <c r="D47" s="37">
        <f>VLOOKUP(B47,Tabla!$A$15:$H$22,5,FALSE)</f>
        <v>38397.481500000002</v>
      </c>
    </row>
    <row r="48" spans="1:4" x14ac:dyDescent="0.25">
      <c r="A48" s="36" t="str">
        <f t="shared" si="0"/>
        <v>SISOHORA DOMINICAL</v>
      </c>
      <c r="B48" s="36" t="s">
        <v>34</v>
      </c>
      <c r="C48" s="42" t="s">
        <v>49</v>
      </c>
      <c r="D48" s="37">
        <f>VLOOKUP(B48,Tabla!$A$15:$H$22,6,FALSE)</f>
        <v>38397.481500000002</v>
      </c>
    </row>
    <row r="49" spans="1:4" x14ac:dyDescent="0.25">
      <c r="A49" s="36" t="str">
        <f t="shared" si="0"/>
        <v>SISOHORA EXTRA DOMINICAL (DIURNA)</v>
      </c>
      <c r="B49" s="36" t="s">
        <v>34</v>
      </c>
      <c r="C49" s="42" t="s">
        <v>50</v>
      </c>
      <c r="D49" s="37">
        <f>VLOOKUP(B49,Tabla!$A$15:$H$22,7,FALSE)</f>
        <v>43882.836000000003</v>
      </c>
    </row>
    <row r="50" spans="1:4" x14ac:dyDescent="0.25">
      <c r="A50" s="36" t="str">
        <f t="shared" si="0"/>
        <v>SISOHORA EXTRA DOMINICAL (NOCTURNA)</v>
      </c>
      <c r="B50" s="36" t="s">
        <v>34</v>
      </c>
      <c r="C50" s="42" t="s">
        <v>51</v>
      </c>
      <c r="D50" s="37">
        <f>VLOOKUP(B50,Tabla!$A$15:$H$22,8,FALSE)</f>
        <v>54853.545000000006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95D0C-C064-4EF2-8385-ABC68E6740E9}">
  <dimension ref="A1:J46"/>
  <sheetViews>
    <sheetView topLeftCell="A7" workbookViewId="0">
      <selection activeCell="J9" sqref="J9"/>
    </sheetView>
  </sheetViews>
  <sheetFormatPr baseColWidth="10" defaultRowHeight="15" x14ac:dyDescent="0.25"/>
  <cols>
    <col min="1" max="1" width="4.85546875" style="3" bestFit="1" customWidth="1"/>
    <col min="2" max="2" width="24.7109375" style="3" customWidth="1"/>
    <col min="3" max="3" width="24.7109375" style="5" customWidth="1"/>
    <col min="4" max="8" width="11.42578125" style="3"/>
    <col min="9" max="9" width="13.140625" style="5" bestFit="1" customWidth="1"/>
    <col min="10" max="10" width="11.42578125" style="5"/>
    <col min="11" max="16384" width="11.42578125" style="3"/>
  </cols>
  <sheetData>
    <row r="1" spans="1:10" ht="51" customHeight="1" x14ac:dyDescent="0.25"/>
    <row r="2" spans="1:10" x14ac:dyDescent="0.25">
      <c r="A2" s="60" t="s">
        <v>86</v>
      </c>
      <c r="B2" s="57"/>
      <c r="C2" s="57"/>
      <c r="D2" s="57"/>
      <c r="E2" s="57"/>
      <c r="F2" s="57"/>
    </row>
    <row r="5" spans="1:10" x14ac:dyDescent="0.25">
      <c r="A5" s="61" t="s">
        <v>63</v>
      </c>
      <c r="B5" s="61"/>
      <c r="C5" s="61"/>
      <c r="D5" s="61"/>
      <c r="E5" s="61"/>
      <c r="F5" s="61"/>
      <c r="I5" s="43"/>
      <c r="J5" s="43"/>
    </row>
    <row r="6" spans="1:10" x14ac:dyDescent="0.25">
      <c r="A6" s="62" t="s">
        <v>64</v>
      </c>
      <c r="B6" s="62"/>
      <c r="C6" s="62"/>
      <c r="D6" s="62"/>
      <c r="E6" s="62"/>
      <c r="F6" s="62"/>
      <c r="I6" s="43"/>
      <c r="J6" s="43"/>
    </row>
    <row r="7" spans="1:10" x14ac:dyDescent="0.25">
      <c r="A7" s="62" t="s">
        <v>65</v>
      </c>
      <c r="B7" s="62"/>
      <c r="C7" s="62"/>
      <c r="D7" s="62"/>
      <c r="E7" s="62"/>
      <c r="F7" s="62"/>
      <c r="I7" s="43"/>
      <c r="J7" s="43"/>
    </row>
    <row r="8" spans="1:10" x14ac:dyDescent="0.25">
      <c r="A8" s="63" t="s">
        <v>66</v>
      </c>
      <c r="B8" s="63"/>
      <c r="C8" s="63"/>
      <c r="D8" s="63"/>
      <c r="E8" s="63"/>
      <c r="F8" s="63"/>
      <c r="I8" s="43"/>
      <c r="J8" s="43"/>
    </row>
    <row r="9" spans="1:10" x14ac:dyDescent="0.25">
      <c r="A9" s="38"/>
      <c r="C9" s="43"/>
      <c r="E9" s="54" t="s">
        <v>87</v>
      </c>
      <c r="F9" s="55" t="s">
        <v>88</v>
      </c>
      <c r="I9" s="43"/>
      <c r="J9" s="43"/>
    </row>
    <row r="11" spans="1:10" x14ac:dyDescent="0.25">
      <c r="A11" s="56" t="s">
        <v>83</v>
      </c>
      <c r="B11" s="56"/>
      <c r="C11" s="56"/>
      <c r="D11" s="56"/>
      <c r="E11" s="56"/>
      <c r="F11" s="56"/>
    </row>
    <row r="13" spans="1:10" ht="44.25" customHeight="1" x14ac:dyDescent="0.25">
      <c r="A13" s="58" t="s">
        <v>84</v>
      </c>
      <c r="B13" s="58"/>
      <c r="C13" s="58"/>
      <c r="D13" s="58"/>
      <c r="E13" s="58"/>
      <c r="F13" s="58"/>
      <c r="I13" s="51"/>
      <c r="J13" s="51"/>
    </row>
    <row r="15" spans="1:10" x14ac:dyDescent="0.25">
      <c r="A15" s="44" t="s">
        <v>76</v>
      </c>
      <c r="B15" s="44" t="s">
        <v>7</v>
      </c>
      <c r="C15" s="44" t="s">
        <v>67</v>
      </c>
      <c r="D15" s="45" t="s">
        <v>68</v>
      </c>
      <c r="E15" s="45" t="s">
        <v>70</v>
      </c>
      <c r="F15" s="45" t="s">
        <v>10</v>
      </c>
    </row>
    <row r="16" spans="1:10" x14ac:dyDescent="0.25">
      <c r="A16" s="3">
        <v>4</v>
      </c>
      <c r="B16" s="41" t="s">
        <v>53</v>
      </c>
      <c r="C16" s="50" t="s">
        <v>49</v>
      </c>
      <c r="D16" s="5">
        <f>VLOOKUP(B16&amp;C16,Matriz!$A$1:$D$50,4,FALSE)</f>
        <v>46359.466596153856</v>
      </c>
      <c r="E16" s="47">
        <v>8</v>
      </c>
      <c r="F16" s="46">
        <f>+A16*D16*E16</f>
        <v>1483502.9310769234</v>
      </c>
    </row>
    <row r="17" spans="1:6" x14ac:dyDescent="0.25">
      <c r="A17" s="3">
        <v>4</v>
      </c>
      <c r="B17" s="41" t="s">
        <v>25</v>
      </c>
      <c r="C17" s="50" t="s">
        <v>49</v>
      </c>
      <c r="D17" s="5">
        <f>VLOOKUP(B17&amp;C17,Matriz!$A$1:$D$50,4,FALSE)</f>
        <v>32549.129576923078</v>
      </c>
      <c r="E17" s="47">
        <v>8</v>
      </c>
      <c r="F17" s="46">
        <f t="shared" ref="F17:F21" si="0">+A17*D17*E17</f>
        <v>1041572.1464615385</v>
      </c>
    </row>
    <row r="18" spans="1:6" x14ac:dyDescent="0.25">
      <c r="A18" s="3">
        <v>1</v>
      </c>
      <c r="B18" s="41" t="s">
        <v>31</v>
      </c>
      <c r="C18" s="50" t="s">
        <v>49</v>
      </c>
      <c r="D18" s="5">
        <f>VLOOKUP(B18&amp;C18,Matriz!$A$1:$D$50,4,FALSE)</f>
        <v>44157.663711538466</v>
      </c>
      <c r="E18" s="47">
        <v>8</v>
      </c>
      <c r="F18" s="46">
        <f t="shared" si="0"/>
        <v>353261.30969230772</v>
      </c>
    </row>
    <row r="19" spans="1:6" x14ac:dyDescent="0.25">
      <c r="A19" s="3">
        <v>1</v>
      </c>
      <c r="B19" s="41" t="s">
        <v>55</v>
      </c>
      <c r="C19" s="50" t="s">
        <v>49</v>
      </c>
      <c r="D19" s="5">
        <f>VLOOKUP(B19&amp;C19,Matriz!$A$1:$D$50,4,FALSE)</f>
        <v>38259.827173076934</v>
      </c>
      <c r="E19" s="47">
        <v>8</v>
      </c>
      <c r="F19" s="46">
        <f t="shared" si="0"/>
        <v>306078.61738461547</v>
      </c>
    </row>
    <row r="20" spans="1:6" x14ac:dyDescent="0.25">
      <c r="A20" s="3">
        <v>1</v>
      </c>
      <c r="B20" s="41" t="s">
        <v>34</v>
      </c>
      <c r="C20" s="50" t="s">
        <v>49</v>
      </c>
      <c r="D20" s="5">
        <f>VLOOKUP(B20&amp;C20,Matriz!$A$1:$D$50,4,FALSE)</f>
        <v>38397.481500000002</v>
      </c>
      <c r="E20" s="47">
        <v>8</v>
      </c>
      <c r="F20" s="46">
        <f t="shared" si="0"/>
        <v>307179.85200000001</v>
      </c>
    </row>
    <row r="21" spans="1:6" x14ac:dyDescent="0.25">
      <c r="A21" s="3">
        <v>2</v>
      </c>
      <c r="B21" s="41" t="s">
        <v>54</v>
      </c>
      <c r="C21" s="50" t="s">
        <v>49</v>
      </c>
      <c r="D21" s="5">
        <f>VLOOKUP(B21&amp;C21,Matriz!$A$1:$D$50,4,FALSE)</f>
        <v>38397.481500000002</v>
      </c>
      <c r="E21" s="47">
        <v>8</v>
      </c>
      <c r="F21" s="46">
        <f t="shared" si="0"/>
        <v>614359.70400000003</v>
      </c>
    </row>
    <row r="22" spans="1:6" x14ac:dyDescent="0.25">
      <c r="A22" s="3">
        <v>3</v>
      </c>
      <c r="B22" s="41" t="s">
        <v>80</v>
      </c>
      <c r="C22" s="50" t="s">
        <v>49</v>
      </c>
      <c r="D22" s="5">
        <f>VLOOKUP(B22&amp;C22,Matriz!$A$1:$D$50,4,FALSE)</f>
        <v>48042.158903846161</v>
      </c>
      <c r="E22" s="47">
        <v>8</v>
      </c>
      <c r="F22" s="46">
        <f>+A22*D22*E22</f>
        <v>1153011.8136923078</v>
      </c>
    </row>
    <row r="23" spans="1:6" x14ac:dyDescent="0.25">
      <c r="A23" s="3">
        <v>4</v>
      </c>
      <c r="B23" s="41" t="s">
        <v>53</v>
      </c>
      <c r="C23" s="50" t="s">
        <v>47</v>
      </c>
      <c r="D23" s="5">
        <f>VLOOKUP(B23&amp;C23,Matriz!$A$1:$D$50,4,FALSE)</f>
        <v>33113.904711538467</v>
      </c>
      <c r="E23" s="47">
        <v>3</v>
      </c>
      <c r="F23" s="46">
        <f>+A23*D23*E23</f>
        <v>397366.85653846164</v>
      </c>
    </row>
    <row r="24" spans="1:6" x14ac:dyDescent="0.25">
      <c r="A24" s="3">
        <v>4</v>
      </c>
      <c r="B24" s="41" t="s">
        <v>25</v>
      </c>
      <c r="C24" s="50" t="s">
        <v>47</v>
      </c>
      <c r="D24" s="5">
        <f>VLOOKUP(B24&amp;C24,Matriz!$A$1:$D$50,4,FALSE)</f>
        <v>23249.378269230769</v>
      </c>
      <c r="E24" s="47">
        <v>3</v>
      </c>
      <c r="F24" s="46">
        <f t="shared" ref="F24:F28" si="1">+A24*D24*E24</f>
        <v>278992.53923076921</v>
      </c>
    </row>
    <row r="25" spans="1:6" x14ac:dyDescent="0.25">
      <c r="A25" s="3">
        <v>1</v>
      </c>
      <c r="B25" s="41" t="s">
        <v>31</v>
      </c>
      <c r="C25" s="50" t="s">
        <v>47</v>
      </c>
      <c r="D25" s="5">
        <f>VLOOKUP(B25&amp;C25,Matriz!$A$1:$D$50,4,FALSE)</f>
        <v>31541.18836538462</v>
      </c>
      <c r="E25" s="47">
        <v>3</v>
      </c>
      <c r="F25" s="46">
        <f t="shared" si="1"/>
        <v>94623.565096153863</v>
      </c>
    </row>
    <row r="26" spans="1:6" x14ac:dyDescent="0.25">
      <c r="A26" s="3">
        <v>1</v>
      </c>
      <c r="B26" s="41" t="s">
        <v>55</v>
      </c>
      <c r="C26" s="50" t="s">
        <v>47</v>
      </c>
      <c r="D26" s="5">
        <f>VLOOKUP(B26&amp;C26,Matriz!$A$1:$D$50,4,FALSE)</f>
        <v>27328.447980769237</v>
      </c>
      <c r="E26" s="47">
        <v>3</v>
      </c>
      <c r="F26" s="46">
        <f t="shared" si="1"/>
        <v>81985.343942307707</v>
      </c>
    </row>
    <row r="27" spans="1:6" x14ac:dyDescent="0.25">
      <c r="A27" s="3">
        <v>1</v>
      </c>
      <c r="B27" s="41" t="s">
        <v>34</v>
      </c>
      <c r="C27" s="50" t="s">
        <v>47</v>
      </c>
      <c r="D27" s="5">
        <f>VLOOKUP(B27&amp;C27,Matriz!$A$1:$D$50,4,FALSE)</f>
        <v>27426.772500000003</v>
      </c>
      <c r="E27" s="47">
        <v>3</v>
      </c>
      <c r="F27" s="46">
        <f t="shared" si="1"/>
        <v>82280.317500000005</v>
      </c>
    </row>
    <row r="28" spans="1:6" x14ac:dyDescent="0.25">
      <c r="A28" s="3">
        <v>2</v>
      </c>
      <c r="B28" s="41" t="s">
        <v>54</v>
      </c>
      <c r="C28" s="50" t="s">
        <v>47</v>
      </c>
      <c r="D28" s="5">
        <f>VLOOKUP(B28&amp;C28,Matriz!$A$1:$D$50,4,FALSE)</f>
        <v>27426.772500000003</v>
      </c>
      <c r="E28" s="47">
        <v>3</v>
      </c>
      <c r="F28" s="46">
        <f t="shared" si="1"/>
        <v>164560.63500000001</v>
      </c>
    </row>
    <row r="29" spans="1:6" x14ac:dyDescent="0.25">
      <c r="A29" s="3">
        <v>3</v>
      </c>
      <c r="B29" s="41" t="s">
        <v>80</v>
      </c>
      <c r="C29" s="50" t="s">
        <v>47</v>
      </c>
      <c r="D29" s="5">
        <f>VLOOKUP(B29&amp;C29,Matriz!$A$1:$D$50,4,FALSE)</f>
        <v>34315.827788461545</v>
      </c>
      <c r="E29" s="47">
        <v>3</v>
      </c>
      <c r="F29" s="46">
        <f>+A29*D29*E29</f>
        <v>308842.45009615389</v>
      </c>
    </row>
    <row r="30" spans="1:6" x14ac:dyDescent="0.25">
      <c r="B30" s="41"/>
      <c r="C30" s="50"/>
      <c r="D30" s="5"/>
      <c r="E30" s="47"/>
      <c r="F30" s="46"/>
    </row>
    <row r="31" spans="1:6" ht="15.75" thickBot="1" x14ac:dyDescent="0.3">
      <c r="E31" s="48" t="s">
        <v>82</v>
      </c>
      <c r="F31" s="49">
        <f>SUM(F16:F29)</f>
        <v>6667618.0817115391</v>
      </c>
    </row>
    <row r="32" spans="1:6" ht="15.75" thickTop="1" x14ac:dyDescent="0.25">
      <c r="A32" s="56" t="s">
        <v>71</v>
      </c>
      <c r="B32" s="56"/>
      <c r="C32" s="56"/>
      <c r="D32" s="56"/>
      <c r="E32" s="56"/>
    </row>
    <row r="33" spans="1:6" x14ac:dyDescent="0.25">
      <c r="A33" s="40" t="s">
        <v>74</v>
      </c>
      <c r="B33" s="3" t="s">
        <v>75</v>
      </c>
    </row>
    <row r="34" spans="1:6" x14ac:dyDescent="0.25">
      <c r="A34" s="3" t="s">
        <v>72</v>
      </c>
      <c r="B34" s="3" t="s">
        <v>90</v>
      </c>
    </row>
    <row r="35" spans="1:6" x14ac:dyDescent="0.25">
      <c r="A35" s="3" t="s">
        <v>73</v>
      </c>
      <c r="B35" s="3" t="s">
        <v>89</v>
      </c>
    </row>
    <row r="37" spans="1:6" x14ac:dyDescent="0.25">
      <c r="A37" s="57" t="s">
        <v>77</v>
      </c>
      <c r="B37" s="57"/>
      <c r="C37" s="57"/>
      <c r="D37" s="57"/>
      <c r="E37" s="57"/>
      <c r="F37" s="57"/>
    </row>
    <row r="40" spans="1:6" x14ac:dyDescent="0.25">
      <c r="A40" s="57" t="s">
        <v>78</v>
      </c>
      <c r="B40" s="57"/>
      <c r="C40" s="57"/>
      <c r="D40" s="57"/>
      <c r="E40" s="57"/>
      <c r="F40" s="57"/>
    </row>
    <row r="42" spans="1:6" x14ac:dyDescent="0.25">
      <c r="A42" s="39" t="s">
        <v>81</v>
      </c>
    </row>
    <row r="43" spans="1:6" x14ac:dyDescent="0.25">
      <c r="A43" s="39" t="s">
        <v>79</v>
      </c>
    </row>
    <row r="44" spans="1:6" x14ac:dyDescent="0.25">
      <c r="A44" s="39"/>
    </row>
    <row r="45" spans="1:6" ht="15.75" thickBot="1" x14ac:dyDescent="0.3">
      <c r="A45" s="52"/>
      <c r="B45" s="52"/>
      <c r="C45" s="53"/>
      <c r="D45" s="52"/>
      <c r="E45" s="52"/>
    </row>
    <row r="46" spans="1:6" ht="15.75" thickTop="1" x14ac:dyDescent="0.25">
      <c r="A46" s="59" t="s">
        <v>85</v>
      </c>
      <c r="B46" s="59"/>
      <c r="C46" s="59"/>
      <c r="D46" s="59"/>
      <c r="E46" s="59"/>
      <c r="F46" s="59"/>
    </row>
  </sheetData>
  <mergeCells count="11">
    <mergeCell ref="A2:F2"/>
    <mergeCell ref="A5:F5"/>
    <mergeCell ref="A6:F6"/>
    <mergeCell ref="A7:F7"/>
    <mergeCell ref="A8:F8"/>
    <mergeCell ref="A11:F11"/>
    <mergeCell ref="A32:E32"/>
    <mergeCell ref="A40:F40"/>
    <mergeCell ref="A13:F13"/>
    <mergeCell ref="A46:F46"/>
    <mergeCell ref="A37:F37"/>
  </mergeCells>
  <hyperlinks>
    <hyperlink ref="A8" r:id="rId1" xr:uid="{740B3ECC-AF06-42B1-B4CA-D263E8D4B0B7}"/>
  </hyperlinks>
  <pageMargins left="0.70866141732283472" right="0.11811023622047245" top="0.55118110236220474" bottom="0.15748031496062992" header="0.31496062992125984" footer="0.31496062992125984"/>
  <pageSetup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F22BB11-F6C9-455B-A6DA-EDB3CF13DBE6}">
          <x14:formula1>
            <xm:f>Tabla!$B$15:$H$15</xm:f>
          </x14:formula1>
          <xm:sqref>C16:C30</xm:sqref>
        </x14:dataValidation>
        <x14:dataValidation type="list" allowBlank="1" showInputMessage="1" showErrorMessage="1" xr:uid="{F57DE746-F17B-4507-91B8-6D047A12CC6B}">
          <x14:formula1>
            <xm:f>Tabla!$A$16:$A$22</xm:f>
          </x14:formula1>
          <xm:sqref>B16:B30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Tabla</vt:lpstr>
      <vt:lpstr>Matriz</vt:lpstr>
      <vt:lpstr>Cotizacion</vt:lpstr>
      <vt:lpstr>Cotizacion!Área_de_impresión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Patricia Martinez Baez</dc:creator>
  <cp:lastModifiedBy>juan pablo rios trujillo</cp:lastModifiedBy>
  <cp:lastPrinted>2024-08-30T22:00:27Z</cp:lastPrinted>
  <dcterms:created xsi:type="dcterms:W3CDTF">2024-08-30T16:20:02Z</dcterms:created>
  <dcterms:modified xsi:type="dcterms:W3CDTF">2026-04-25T23:33:43Z</dcterms:modified>
</cp:coreProperties>
</file>